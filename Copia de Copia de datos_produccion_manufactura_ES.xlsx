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750DED07-CD52-4E15-B531-215E3DE2DD1C}" xr6:coauthVersionLast="37" xr6:coauthVersionMax="37" xr10:uidLastSave="{00000000-0000-0000-0000-000000000000}"/>
  <bookViews>
    <workbookView xWindow="0" yWindow="0" windowWidth="17256" windowHeight="5640" xr2:uid="{00000000-000D-0000-FFFF-FFFF00000000}"/>
  </bookViews>
  <sheets>
    <sheet name="Copia de datos_produccion_manuf" sheetId="1" r:id="rId1"/>
  </sheets>
  <definedNames>
    <definedName name="DatosProduccion">Tabla1[]</definedName>
  </definedNames>
  <calcPr calcId="179021"/>
</workbook>
</file>

<file path=xl/calcChain.xml><?xml version="1.0" encoding="utf-8"?>
<calcChain xmlns="http://schemas.openxmlformats.org/spreadsheetml/2006/main">
  <c r="Q361" i="1" l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I21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L2" i="1"/>
  <c r="P2" i="1" s="1"/>
  <c r="L3" i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L45" i="1"/>
  <c r="P45" i="1" s="1"/>
  <c r="L46" i="1"/>
  <c r="P46" i="1" s="1"/>
  <c r="L47" i="1"/>
  <c r="P47" i="1" s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P99" i="1" s="1"/>
  <c r="L100" i="1"/>
  <c r="P100" i="1" s="1"/>
  <c r="L101" i="1"/>
  <c r="P101" i="1" s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P122" i="1" s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L152" i="1"/>
  <c r="P152" i="1" s="1"/>
  <c r="L153" i="1"/>
  <c r="P153" i="1" s="1"/>
  <c r="L154" i="1"/>
  <c r="P154" i="1" s="1"/>
  <c r="L155" i="1"/>
  <c r="P155" i="1" s="1"/>
  <c r="L156" i="1"/>
  <c r="P156" i="1" s="1"/>
  <c r="L157" i="1"/>
  <c r="P157" i="1" s="1"/>
  <c r="L158" i="1"/>
  <c r="P158" i="1" s="1"/>
  <c r="L159" i="1"/>
  <c r="P159" i="1" s="1"/>
  <c r="L160" i="1"/>
  <c r="P160" i="1" s="1"/>
  <c r="L161" i="1"/>
  <c r="P161" i="1" s="1"/>
  <c r="L162" i="1"/>
  <c r="P162" i="1" s="1"/>
  <c r="L163" i="1"/>
  <c r="P163" i="1" s="1"/>
  <c r="L164" i="1"/>
  <c r="P164" i="1" s="1"/>
  <c r="L165" i="1"/>
  <c r="P165" i="1" s="1"/>
  <c r="L166" i="1"/>
  <c r="P166" i="1" s="1"/>
  <c r="L167" i="1"/>
  <c r="P167" i="1" s="1"/>
  <c r="L168" i="1"/>
  <c r="P168" i="1" s="1"/>
  <c r="L169" i="1"/>
  <c r="P169" i="1" s="1"/>
  <c r="L170" i="1"/>
  <c r="P170" i="1" s="1"/>
  <c r="L171" i="1"/>
  <c r="P171" i="1" s="1"/>
  <c r="L172" i="1"/>
  <c r="P172" i="1" s="1"/>
  <c r="L173" i="1"/>
  <c r="P173" i="1" s="1"/>
  <c r="L174" i="1"/>
  <c r="P174" i="1" s="1"/>
  <c r="L175" i="1"/>
  <c r="P175" i="1" s="1"/>
  <c r="L176" i="1"/>
  <c r="P176" i="1" s="1"/>
  <c r="L177" i="1"/>
  <c r="P177" i="1" s="1"/>
  <c r="L178" i="1"/>
  <c r="P178" i="1" s="1"/>
  <c r="L179" i="1"/>
  <c r="P179" i="1" s="1"/>
  <c r="L180" i="1"/>
  <c r="P180" i="1" s="1"/>
  <c r="L181" i="1"/>
  <c r="P181" i="1" s="1"/>
  <c r="L182" i="1"/>
  <c r="P182" i="1" s="1"/>
  <c r="L183" i="1"/>
  <c r="P183" i="1" s="1"/>
  <c r="L184" i="1"/>
  <c r="P184" i="1" s="1"/>
  <c r="L185" i="1"/>
  <c r="P185" i="1" s="1"/>
  <c r="L186" i="1"/>
  <c r="P186" i="1" s="1"/>
  <c r="L187" i="1"/>
  <c r="P187" i="1" s="1"/>
  <c r="L188" i="1"/>
  <c r="P188" i="1" s="1"/>
  <c r="L189" i="1"/>
  <c r="P189" i="1" s="1"/>
  <c r="L190" i="1"/>
  <c r="P190" i="1" s="1"/>
  <c r="L191" i="1"/>
  <c r="P191" i="1" s="1"/>
  <c r="L192" i="1"/>
  <c r="P192" i="1" s="1"/>
  <c r="L193" i="1"/>
  <c r="P193" i="1" s="1"/>
  <c r="L194" i="1"/>
  <c r="P194" i="1" s="1"/>
  <c r="L195" i="1"/>
  <c r="P195" i="1" s="1"/>
  <c r="L196" i="1"/>
  <c r="P196" i="1" s="1"/>
  <c r="L197" i="1"/>
  <c r="P197" i="1" s="1"/>
  <c r="L198" i="1"/>
  <c r="P198" i="1" s="1"/>
  <c r="L199" i="1"/>
  <c r="P199" i="1" s="1"/>
  <c r="L200" i="1"/>
  <c r="P200" i="1" s="1"/>
  <c r="L201" i="1"/>
  <c r="P201" i="1" s="1"/>
  <c r="L202" i="1"/>
  <c r="P202" i="1" s="1"/>
  <c r="L203" i="1"/>
  <c r="P203" i="1" s="1"/>
  <c r="L204" i="1"/>
  <c r="P204" i="1" s="1"/>
  <c r="L205" i="1"/>
  <c r="P205" i="1" s="1"/>
  <c r="L206" i="1"/>
  <c r="P206" i="1" s="1"/>
  <c r="L207" i="1"/>
  <c r="P207" i="1" s="1"/>
  <c r="L208" i="1"/>
  <c r="P208" i="1" s="1"/>
  <c r="L209" i="1"/>
  <c r="P209" i="1" s="1"/>
  <c r="L210" i="1"/>
  <c r="P210" i="1" s="1"/>
  <c r="L211" i="1"/>
  <c r="P211" i="1" s="1"/>
  <c r="L212" i="1"/>
  <c r="P212" i="1" s="1"/>
  <c r="L213" i="1"/>
  <c r="P213" i="1" s="1"/>
  <c r="L214" i="1"/>
  <c r="P214" i="1" s="1"/>
  <c r="L215" i="1"/>
  <c r="P215" i="1" s="1"/>
  <c r="L216" i="1"/>
  <c r="P216" i="1" s="1"/>
  <c r="L217" i="1"/>
  <c r="P217" i="1" s="1"/>
  <c r="L218" i="1"/>
  <c r="P218" i="1" s="1"/>
  <c r="L219" i="1"/>
  <c r="P219" i="1" s="1"/>
  <c r="L220" i="1"/>
  <c r="P220" i="1" s="1"/>
  <c r="L221" i="1"/>
  <c r="P221" i="1" s="1"/>
  <c r="L222" i="1"/>
  <c r="P222" i="1" s="1"/>
  <c r="L223" i="1"/>
  <c r="P223" i="1" s="1"/>
  <c r="L224" i="1"/>
  <c r="P224" i="1" s="1"/>
  <c r="L225" i="1"/>
  <c r="P225" i="1" s="1"/>
  <c r="L226" i="1"/>
  <c r="P226" i="1" s="1"/>
  <c r="L227" i="1"/>
  <c r="P227" i="1" s="1"/>
  <c r="L228" i="1"/>
  <c r="P228" i="1" s="1"/>
  <c r="L229" i="1"/>
  <c r="P229" i="1" s="1"/>
  <c r="L230" i="1"/>
  <c r="P230" i="1" s="1"/>
  <c r="L231" i="1"/>
  <c r="P231" i="1" s="1"/>
  <c r="L232" i="1"/>
  <c r="P232" i="1" s="1"/>
  <c r="L233" i="1"/>
  <c r="P233" i="1" s="1"/>
  <c r="L234" i="1"/>
  <c r="P234" i="1" s="1"/>
  <c r="L235" i="1"/>
  <c r="P235" i="1" s="1"/>
  <c r="L236" i="1"/>
  <c r="P236" i="1" s="1"/>
  <c r="L237" i="1"/>
  <c r="P237" i="1" s="1"/>
  <c r="L238" i="1"/>
  <c r="P238" i="1" s="1"/>
  <c r="L239" i="1"/>
  <c r="P239" i="1" s="1"/>
  <c r="L240" i="1"/>
  <c r="P240" i="1" s="1"/>
  <c r="L241" i="1"/>
  <c r="P241" i="1" s="1"/>
  <c r="L242" i="1"/>
  <c r="P242" i="1" s="1"/>
  <c r="L243" i="1"/>
  <c r="P243" i="1" s="1"/>
  <c r="L244" i="1"/>
  <c r="P244" i="1" s="1"/>
  <c r="L245" i="1"/>
  <c r="P245" i="1" s="1"/>
  <c r="L246" i="1"/>
  <c r="P246" i="1" s="1"/>
  <c r="L247" i="1"/>
  <c r="P247" i="1" s="1"/>
  <c r="L248" i="1"/>
  <c r="P248" i="1" s="1"/>
  <c r="L249" i="1"/>
  <c r="P249" i="1" s="1"/>
  <c r="L250" i="1"/>
  <c r="P250" i="1" s="1"/>
  <c r="L251" i="1"/>
  <c r="P251" i="1" s="1"/>
  <c r="L252" i="1"/>
  <c r="P252" i="1" s="1"/>
  <c r="L253" i="1"/>
  <c r="P253" i="1" s="1"/>
  <c r="L254" i="1"/>
  <c r="P254" i="1" s="1"/>
  <c r="L255" i="1"/>
  <c r="P255" i="1" s="1"/>
  <c r="L256" i="1"/>
  <c r="P256" i="1" s="1"/>
  <c r="L257" i="1"/>
  <c r="P257" i="1" s="1"/>
  <c r="L258" i="1"/>
  <c r="P258" i="1" s="1"/>
  <c r="L259" i="1"/>
  <c r="P259" i="1" s="1"/>
  <c r="L260" i="1"/>
  <c r="P260" i="1" s="1"/>
  <c r="L261" i="1"/>
  <c r="P261" i="1" s="1"/>
  <c r="L262" i="1"/>
  <c r="P262" i="1" s="1"/>
  <c r="L263" i="1"/>
  <c r="P263" i="1" s="1"/>
  <c r="L264" i="1"/>
  <c r="P264" i="1" s="1"/>
  <c r="L265" i="1"/>
  <c r="P265" i="1" s="1"/>
  <c r="L266" i="1"/>
  <c r="P266" i="1" s="1"/>
  <c r="L267" i="1"/>
  <c r="P267" i="1" s="1"/>
  <c r="L268" i="1"/>
  <c r="P268" i="1" s="1"/>
  <c r="L269" i="1"/>
  <c r="P269" i="1" s="1"/>
  <c r="L270" i="1"/>
  <c r="P270" i="1" s="1"/>
  <c r="L271" i="1"/>
  <c r="P271" i="1" s="1"/>
  <c r="L272" i="1"/>
  <c r="P272" i="1" s="1"/>
  <c r="L273" i="1"/>
  <c r="P273" i="1" s="1"/>
  <c r="L274" i="1"/>
  <c r="P274" i="1" s="1"/>
  <c r="L275" i="1"/>
  <c r="P275" i="1" s="1"/>
  <c r="L276" i="1"/>
  <c r="P276" i="1" s="1"/>
  <c r="L277" i="1"/>
  <c r="P277" i="1" s="1"/>
  <c r="L278" i="1"/>
  <c r="P278" i="1" s="1"/>
  <c r="L279" i="1"/>
  <c r="P279" i="1" s="1"/>
  <c r="L280" i="1"/>
  <c r="P280" i="1" s="1"/>
  <c r="L281" i="1"/>
  <c r="P281" i="1" s="1"/>
  <c r="L282" i="1"/>
  <c r="P282" i="1" s="1"/>
  <c r="L283" i="1"/>
  <c r="P283" i="1" s="1"/>
  <c r="L284" i="1"/>
  <c r="P284" i="1" s="1"/>
  <c r="L285" i="1"/>
  <c r="P285" i="1" s="1"/>
  <c r="L286" i="1"/>
  <c r="P286" i="1" s="1"/>
  <c r="L287" i="1"/>
  <c r="P287" i="1" s="1"/>
  <c r="L288" i="1"/>
  <c r="P288" i="1" s="1"/>
  <c r="L289" i="1"/>
  <c r="P289" i="1" s="1"/>
  <c r="L290" i="1"/>
  <c r="P290" i="1" s="1"/>
  <c r="L291" i="1"/>
  <c r="P291" i="1" s="1"/>
  <c r="L292" i="1"/>
  <c r="P292" i="1" s="1"/>
  <c r="L293" i="1"/>
  <c r="P293" i="1" s="1"/>
  <c r="L294" i="1"/>
  <c r="P294" i="1" s="1"/>
  <c r="L295" i="1"/>
  <c r="P295" i="1" s="1"/>
  <c r="L296" i="1"/>
  <c r="P296" i="1" s="1"/>
  <c r="L297" i="1"/>
  <c r="P297" i="1" s="1"/>
  <c r="L298" i="1"/>
  <c r="P298" i="1" s="1"/>
  <c r="L299" i="1"/>
  <c r="P299" i="1" s="1"/>
  <c r="L300" i="1"/>
  <c r="P300" i="1" s="1"/>
  <c r="L301" i="1"/>
  <c r="P301" i="1" s="1"/>
  <c r="L302" i="1"/>
  <c r="P302" i="1" s="1"/>
  <c r="L303" i="1"/>
  <c r="P303" i="1" s="1"/>
  <c r="L304" i="1"/>
  <c r="P304" i="1" s="1"/>
  <c r="L305" i="1"/>
  <c r="P305" i="1" s="1"/>
  <c r="L306" i="1"/>
  <c r="P306" i="1" s="1"/>
  <c r="L307" i="1"/>
  <c r="P307" i="1" s="1"/>
  <c r="L308" i="1"/>
  <c r="P308" i="1" s="1"/>
  <c r="L309" i="1"/>
  <c r="P309" i="1" s="1"/>
  <c r="L310" i="1"/>
  <c r="P310" i="1" s="1"/>
  <c r="L311" i="1"/>
  <c r="P311" i="1" s="1"/>
  <c r="L312" i="1"/>
  <c r="P312" i="1" s="1"/>
  <c r="L313" i="1"/>
  <c r="P313" i="1" s="1"/>
  <c r="L314" i="1"/>
  <c r="P314" i="1" s="1"/>
  <c r="L315" i="1"/>
  <c r="P315" i="1" s="1"/>
  <c r="L316" i="1"/>
  <c r="P316" i="1" s="1"/>
  <c r="L317" i="1"/>
  <c r="P317" i="1" s="1"/>
  <c r="L318" i="1"/>
  <c r="P318" i="1" s="1"/>
  <c r="L319" i="1"/>
  <c r="P319" i="1" s="1"/>
  <c r="L320" i="1"/>
  <c r="P320" i="1" s="1"/>
  <c r="L321" i="1"/>
  <c r="P321" i="1" s="1"/>
  <c r="L322" i="1"/>
  <c r="P322" i="1" s="1"/>
  <c r="L323" i="1"/>
  <c r="P323" i="1" s="1"/>
  <c r="L324" i="1"/>
  <c r="P324" i="1" s="1"/>
  <c r="L325" i="1"/>
  <c r="P325" i="1" s="1"/>
  <c r="L326" i="1"/>
  <c r="P326" i="1" s="1"/>
  <c r="L327" i="1"/>
  <c r="P327" i="1" s="1"/>
  <c r="L328" i="1"/>
  <c r="P328" i="1" s="1"/>
  <c r="L329" i="1"/>
  <c r="P329" i="1" s="1"/>
  <c r="L330" i="1"/>
  <c r="P330" i="1" s="1"/>
  <c r="L331" i="1"/>
  <c r="P331" i="1" s="1"/>
  <c r="L332" i="1"/>
  <c r="P332" i="1" s="1"/>
  <c r="L333" i="1"/>
  <c r="P333" i="1" s="1"/>
  <c r="L334" i="1"/>
  <c r="P334" i="1" s="1"/>
  <c r="L335" i="1"/>
  <c r="P335" i="1" s="1"/>
  <c r="L336" i="1"/>
  <c r="P336" i="1" s="1"/>
  <c r="L337" i="1"/>
  <c r="P337" i="1" s="1"/>
  <c r="L338" i="1"/>
  <c r="P338" i="1" s="1"/>
  <c r="L339" i="1"/>
  <c r="P339" i="1" s="1"/>
  <c r="L340" i="1"/>
  <c r="P340" i="1" s="1"/>
  <c r="L341" i="1"/>
  <c r="P341" i="1" s="1"/>
  <c r="L342" i="1"/>
  <c r="P342" i="1" s="1"/>
  <c r="L343" i="1"/>
  <c r="P343" i="1" s="1"/>
  <c r="L344" i="1"/>
  <c r="P344" i="1" s="1"/>
  <c r="L345" i="1"/>
  <c r="P345" i="1" s="1"/>
  <c r="L346" i="1"/>
  <c r="P346" i="1" s="1"/>
  <c r="L347" i="1"/>
  <c r="P347" i="1" s="1"/>
  <c r="L348" i="1"/>
  <c r="P348" i="1" s="1"/>
  <c r="L349" i="1"/>
  <c r="P349" i="1" s="1"/>
  <c r="L350" i="1"/>
  <c r="P350" i="1" s="1"/>
  <c r="L351" i="1"/>
  <c r="P351" i="1" s="1"/>
  <c r="L352" i="1"/>
  <c r="P352" i="1" s="1"/>
  <c r="L353" i="1"/>
  <c r="P353" i="1" s="1"/>
  <c r="L354" i="1"/>
  <c r="P354" i="1" s="1"/>
  <c r="L355" i="1"/>
  <c r="P355" i="1" s="1"/>
  <c r="L356" i="1"/>
  <c r="P356" i="1" s="1"/>
  <c r="L357" i="1"/>
  <c r="P357" i="1" s="1"/>
  <c r="L358" i="1"/>
  <c r="P358" i="1" s="1"/>
  <c r="L359" i="1"/>
  <c r="P359" i="1" s="1"/>
  <c r="L360" i="1"/>
  <c r="P360" i="1" s="1"/>
  <c r="L361" i="1"/>
  <c r="P361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2" i="1"/>
</calcChain>
</file>

<file path=xl/sharedStrings.xml><?xml version="1.0" encoding="utf-8"?>
<sst xmlns="http://schemas.openxmlformats.org/spreadsheetml/2006/main" count="1457" uniqueCount="36">
  <si>
    <t>Fecha</t>
  </si>
  <si>
    <t>Turno</t>
  </si>
  <si>
    <t>ID_Maquina</t>
  </si>
  <si>
    <t>Unidades_Producidas</t>
  </si>
  <si>
    <t>Unidades_Defectuosas</t>
  </si>
  <si>
    <t>Tipo_Defecto_Principal</t>
  </si>
  <si>
    <t>Minutos_Paro</t>
  </si>
  <si>
    <t>Motivo_del_Paro</t>
  </si>
  <si>
    <t>Mañana</t>
  </si>
  <si>
    <t>M1</t>
  </si>
  <si>
    <t>Dimensión fuera de especificación</t>
  </si>
  <si>
    <t>Error del Operador</t>
  </si>
  <si>
    <t>M2</t>
  </si>
  <si>
    <t>M3</t>
  </si>
  <si>
    <t>Falla de material</t>
  </si>
  <si>
    <t>M4</t>
  </si>
  <si>
    <t>Rayadura</t>
  </si>
  <si>
    <t>Tarde</t>
  </si>
  <si>
    <t>Error de ensamblaje</t>
  </si>
  <si>
    <t>Noche</t>
  </si>
  <si>
    <t>Otro</t>
  </si>
  <si>
    <t>Mantenimiento Preventivo</t>
  </si>
  <si>
    <t>Ninguno</t>
  </si>
  <si>
    <t>Rotura de Herramienta</t>
  </si>
  <si>
    <t>Escasez de Material</t>
  </si>
  <si>
    <t>Corte de Energía</t>
  </si>
  <si>
    <t>Sin Incidencia</t>
  </si>
  <si>
    <t>Horas_Operativas</t>
  </si>
  <si>
    <t>Validación_Dato</t>
  </si>
  <si>
    <t>Ratio_Paro_Produccion</t>
  </si>
  <si>
    <t>Unidades_Buenas</t>
  </si>
  <si>
    <t>Gravedad_Paro</t>
  </si>
  <si>
    <t>Tasa_Calidad</t>
  </si>
  <si>
    <t>Capacidad_Teorica</t>
  </si>
  <si>
    <t>Tasa_Defectos</t>
  </si>
  <si>
    <t>Impacto_Defecto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</si>
</sst>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NumberFormat="1"/>
    <xf numFmtId="9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Q361" totalsRowShown="0">
  <tableColumns count="17">
    <tableColumn id="1" xr3:uid="{00000000-0010-0000-0000-000001000000}" name="Fecha" dataDxfId="7"/>
    <tableColumn id="2" xr3:uid="{00000000-0010-0000-0000-000002000000}" name="Turno"/>
    <tableColumn id="3" xr3:uid="{00000000-0010-0000-0000-000003000000}" name="ID_Maquina"/>
    <tableColumn id="4" xr3:uid="{00000000-0010-0000-0000-000004000000}" name="Unidades_Producidas"/>
    <tableColumn id="5" xr3:uid="{00000000-0010-0000-0000-000005000000}" name="Unidades_Defectuosas"/>
    <tableColumn id="6" xr3:uid="{00000000-0010-0000-0000-000006000000}" name="Tipo_Defecto_Principal"/>
    <tableColumn id="7" xr3:uid="{00000000-0010-0000-0000-000007000000}" name="Minutos_Paro"/>
    <tableColumn id="8" xr3:uid="{00000000-0010-0000-0000-000008000000}" name="Motivo_del_Paro"/>
    <tableColumn id="9" xr3:uid="{00000000-0010-0000-0000-000009000000}" name="Horas_Operativas" dataDxfId="6">
      <calculatedColumnFormula>(480 - Tabla1[Minutos_Paro]) / 60</calculatedColumnFormula>
    </tableColumn>
    <tableColumn id="10" xr3:uid="{00000000-0010-0000-0000-00000A000000}" name="Validación_Dato" dataDxfId="5">
      <calculatedColumnFormula>IF(Tabla1[Unidades_Defectuosas] &gt; Tabla1[Unidades_Producidas], "ERROR", "OK")</calculatedColumnFormula>
    </tableColumn>
    <tableColumn id="11" xr3:uid="{00000000-0010-0000-0000-00000B000000}" name="Ratio_Paro_Produccion" dataDxfId="4">
      <calculatedColumnFormula>Tabla1[Minutos_Paro] / Tabla1[Unidades_Producidas]</calculatedColumnFormula>
    </tableColumn>
    <tableColumn id="12" xr3:uid="{00000000-0010-0000-0000-00000C000000}" name="Unidades_Buenas" dataDxfId="3">
      <calculatedColumnFormula>Tabla1[Unidades_Producidas] - Tabla1[Unidades_Defectuosas]</calculatedColumnFormula>
    </tableColumn>
    <tableColumn id="13" xr3:uid="{00000000-0010-0000-0000-00000D000000}" name="Gravedad_Paro" dataDxfId="2">
      <calculatedColumnFormula>IF(Tabla1[Minutos_Paro]=0,"Nula",IF(Tabla1[Minutos_Paro]&lt;30,"Baja",IF(Tabla1[Minutos_Paro]&lt;60,"Media","Alta")))</calculatedColumnFormula>
    </tableColumn>
    <tableColumn id="16" xr3:uid="{7A6FBFE1-AE8B-496A-8AD3-42701C9CD490}" name="Capacidad_Teorica" dataDxfId="1">
      <calculatedColumnFormula>250</calculatedColumnFormula>
    </tableColumn>
    <tableColumn id="17" xr3:uid="{6F9DED43-5720-413C-8DC9-760B43D87FD9}" name="Tasa_Defectos" dataCellStyle="Porcentaje">
      <calculatedColumnFormula>Tabla1[Unidades_Defectuosas] / Tabla1[Unidades_Producidas]</calculatedColumnFormula>
    </tableColumn>
    <tableColumn id="18" xr3:uid="{CB28A1AB-7A4C-47FE-8FFF-2E808D480B26}" name="Tasa_Calidad" dataCellStyle="Porcentaje">
      <calculatedColumnFormula>Tabla1[Unidades_Buenas] / Tabla1[Unidades_Producidas]</calculatedColumnFormula>
    </tableColumn>
    <tableColumn id="19" xr3:uid="{A104FF77-A213-4093-95EA-2362A729A8AF}" name="Impacto_Defecto" dataDxfId="0">
      <calculatedColumnFormula>IF(Tabla1[Tipo_Defecto_Principal]="Falla de material", 3, IF(Tabla1[Tipo_Defecto_Principal]="Dimensión fuera de especificación", 2, 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1"/>
  <sheetViews>
    <sheetView tabSelected="1" topLeftCell="J1" zoomScale="55" zoomScaleNormal="55" workbookViewId="0">
      <selection activeCell="R6" sqref="R6"/>
    </sheetView>
  </sheetViews>
  <sheetFormatPr baseColWidth="10" defaultRowHeight="14.4" x14ac:dyDescent="0.3"/>
  <cols>
    <col min="2" max="2" width="9" bestFit="1" customWidth="1"/>
    <col min="3" max="3" width="14.88671875" bestFit="1" customWidth="1"/>
    <col min="4" max="4" width="26.77734375" bestFit="1" customWidth="1"/>
    <col min="5" max="5" width="28.21875" bestFit="1" customWidth="1"/>
    <col min="6" max="6" width="33.88671875" bestFit="1" customWidth="1"/>
    <col min="7" max="7" width="17.109375" bestFit="1" customWidth="1"/>
    <col min="8" max="8" width="25.5546875" bestFit="1" customWidth="1"/>
    <col min="9" max="9" width="21.88671875" bestFit="1" customWidth="1"/>
    <col min="10" max="10" width="20.33203125" bestFit="1" customWidth="1"/>
    <col min="11" max="11" width="29" customWidth="1"/>
    <col min="12" max="12" width="22.33203125" customWidth="1"/>
    <col min="13" max="13" width="19.33203125" customWidth="1"/>
    <col min="14" max="14" width="24" bestFit="1" customWidth="1"/>
    <col min="15" max="15" width="18.6640625" style="4" customWidth="1"/>
    <col min="16" max="16" width="17.109375" style="4" bestFit="1" customWidth="1"/>
    <col min="17" max="17" width="21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33</v>
      </c>
      <c r="O1" s="4" t="s">
        <v>34</v>
      </c>
      <c r="P1" s="4" t="s">
        <v>32</v>
      </c>
      <c r="Q1" t="s">
        <v>35</v>
      </c>
    </row>
    <row r="2" spans="1:17" x14ac:dyDescent="0.3">
      <c r="A2" s="2">
        <v>45200</v>
      </c>
      <c r="B2" t="s">
        <v>8</v>
      </c>
      <c r="C2" t="s">
        <v>9</v>
      </c>
      <c r="D2">
        <v>231</v>
      </c>
      <c r="E2">
        <v>5</v>
      </c>
      <c r="F2" t="s">
        <v>10</v>
      </c>
      <c r="G2">
        <v>15</v>
      </c>
      <c r="H2" t="s">
        <v>11</v>
      </c>
      <c r="I2">
        <f>(480 - Tabla1[Minutos_Paro]) / 60</f>
        <v>7.75</v>
      </c>
      <c r="J2" t="str">
        <f>IF(Tabla1[Unidades_Defectuosas] &gt; Tabla1[Unidades_Producidas], "ERROR", "OK")</f>
        <v>OK</v>
      </c>
      <c r="K2" s="1">
        <f>Tabla1[Minutos_Paro] / Tabla1[Unidades_Producidas]</f>
        <v>6.4935064935064929E-2</v>
      </c>
      <c r="L2">
        <f>Tabla1[Unidades_Producidas] - Tabla1[Unidades_Defectuosas]</f>
        <v>226</v>
      </c>
      <c r="M2" s="3" t="str">
        <f>IF(Tabla1[Minutos_Paro]=0,"Nula",IF(Tabla1[Minutos_Paro]&lt;30,"Baja",IF(Tabla1[Minutos_Paro]&lt;60,"Media","Alta")))</f>
        <v>Baja</v>
      </c>
      <c r="N2" s="3">
        <f>250</f>
        <v>250</v>
      </c>
      <c r="O2" s="4">
        <f>Tabla1[Unidades_Defectuosas] / Tabla1[Unidades_Producidas]</f>
        <v>2.1645021645021644E-2</v>
      </c>
      <c r="P2" s="4">
        <f>Tabla1[Unidades_Buenas] / Tabla1[Unidades_Producidas]</f>
        <v>0.97835497835497831</v>
      </c>
      <c r="Q2" s="3">
        <f>IF(Tabla1[Tipo_Defecto_Principal]="Falla de material", 3, IF(Tabla1[Tipo_Defecto_Principal]="Dimensión fuera de especificación", 2, 1))</f>
        <v>2</v>
      </c>
    </row>
    <row r="3" spans="1:17" x14ac:dyDescent="0.3">
      <c r="A3" s="2">
        <v>45200</v>
      </c>
      <c r="B3" t="s">
        <v>8</v>
      </c>
      <c r="C3" t="s">
        <v>12</v>
      </c>
      <c r="D3">
        <v>203</v>
      </c>
      <c r="E3">
        <v>18</v>
      </c>
      <c r="F3" t="s">
        <v>10</v>
      </c>
      <c r="G3">
        <v>0</v>
      </c>
      <c r="H3" t="s">
        <v>26</v>
      </c>
      <c r="I3">
        <f>(480 - Tabla1[Minutos_Paro]) / 60</f>
        <v>8</v>
      </c>
      <c r="J3" t="str">
        <f>IF(Tabla1[Unidades_Defectuosas] &gt; Tabla1[Unidades_Producidas], "ERROR", "OK")</f>
        <v>OK</v>
      </c>
      <c r="K3" s="1">
        <f>Tabla1[Minutos_Paro] / Tabla1[Unidades_Producidas]</f>
        <v>0</v>
      </c>
      <c r="L3">
        <f>Tabla1[Unidades_Producidas] - Tabla1[Unidades_Defectuosas]</f>
        <v>185</v>
      </c>
      <c r="M3" s="3" t="str">
        <f>IF(Tabla1[Minutos_Paro]=0,"Nula",IF(Tabla1[Minutos_Paro]&lt;30,"Baja",IF(Tabla1[Minutos_Paro]&lt;60,"Media","Alta")))</f>
        <v>Nula</v>
      </c>
      <c r="N3" s="3">
        <f>250</f>
        <v>250</v>
      </c>
      <c r="O3" s="4">
        <f>Tabla1[Unidades_Defectuosas] / Tabla1[Unidades_Producidas]</f>
        <v>8.8669950738916259E-2</v>
      </c>
      <c r="P3" s="4">
        <f>Tabla1[Unidades_Buenas] / Tabla1[Unidades_Producidas]</f>
        <v>0.91133004926108374</v>
      </c>
      <c r="Q3" s="3">
        <f>IF(Tabla1[Tipo_Defecto_Principal]="Falla de material", 3, IF(Tabla1[Tipo_Defecto_Principal]="Dimensión fuera de especificación", 2, 1))</f>
        <v>2</v>
      </c>
    </row>
    <row r="4" spans="1:17" x14ac:dyDescent="0.3">
      <c r="A4" s="2">
        <v>45200</v>
      </c>
      <c r="B4" t="s">
        <v>8</v>
      </c>
      <c r="C4" t="s">
        <v>13</v>
      </c>
      <c r="D4">
        <v>209</v>
      </c>
      <c r="E4">
        <v>4</v>
      </c>
      <c r="F4" t="s">
        <v>14</v>
      </c>
      <c r="G4">
        <v>0</v>
      </c>
      <c r="H4" t="s">
        <v>26</v>
      </c>
      <c r="I4">
        <f>(480 - Tabla1[Minutos_Paro]) / 60</f>
        <v>8</v>
      </c>
      <c r="J4" t="str">
        <f>IF(Tabla1[Unidades_Defectuosas] &gt; Tabla1[Unidades_Producidas], "ERROR", "OK")</f>
        <v>OK</v>
      </c>
      <c r="K4" s="1">
        <f>Tabla1[Minutos_Paro] / Tabla1[Unidades_Producidas]</f>
        <v>0</v>
      </c>
      <c r="L4">
        <f>Tabla1[Unidades_Producidas] - Tabla1[Unidades_Defectuosas]</f>
        <v>205</v>
      </c>
      <c r="M4" s="3" t="str">
        <f>IF(Tabla1[Minutos_Paro]=0,"Nula",IF(Tabla1[Minutos_Paro]&lt;30,"Baja",IF(Tabla1[Minutos_Paro]&lt;60,"Media","Alta")))</f>
        <v>Nula</v>
      </c>
      <c r="N4" s="3">
        <f>250</f>
        <v>250</v>
      </c>
      <c r="O4" s="4">
        <f>Tabla1[Unidades_Defectuosas] / Tabla1[Unidades_Producidas]</f>
        <v>1.9138755980861243E-2</v>
      </c>
      <c r="P4" s="4">
        <f>Tabla1[Unidades_Buenas] / Tabla1[Unidades_Producidas]</f>
        <v>0.98086124401913877</v>
      </c>
      <c r="Q4" s="3">
        <f>IF(Tabla1[Tipo_Defecto_Principal]="Falla de material", 3, IF(Tabla1[Tipo_Defecto_Principal]="Dimensión fuera de especificación", 2, 1))</f>
        <v>3</v>
      </c>
    </row>
    <row r="5" spans="1:17" x14ac:dyDescent="0.3">
      <c r="A5" s="2">
        <v>45200</v>
      </c>
      <c r="B5" t="s">
        <v>8</v>
      </c>
      <c r="C5" t="s">
        <v>15</v>
      </c>
      <c r="D5">
        <v>228</v>
      </c>
      <c r="E5">
        <v>5</v>
      </c>
      <c r="F5" t="s">
        <v>16</v>
      </c>
      <c r="G5">
        <v>0</v>
      </c>
      <c r="H5" t="s">
        <v>26</v>
      </c>
      <c r="I5">
        <f>(480 - Tabla1[Minutos_Paro]) / 60</f>
        <v>8</v>
      </c>
      <c r="J5" t="str">
        <f>IF(Tabla1[Unidades_Defectuosas] &gt; Tabla1[Unidades_Producidas], "ERROR", "OK")</f>
        <v>OK</v>
      </c>
      <c r="K5" s="1">
        <f>Tabla1[Minutos_Paro] / Tabla1[Unidades_Producidas]</f>
        <v>0</v>
      </c>
      <c r="L5">
        <f>Tabla1[Unidades_Producidas] - Tabla1[Unidades_Defectuosas]</f>
        <v>223</v>
      </c>
      <c r="M5" s="3" t="str">
        <f>IF(Tabla1[Minutos_Paro]=0,"Nula",IF(Tabla1[Minutos_Paro]&lt;30,"Baja",IF(Tabla1[Minutos_Paro]&lt;60,"Media","Alta")))</f>
        <v>Nula</v>
      </c>
      <c r="N5" s="3">
        <f>250</f>
        <v>250</v>
      </c>
      <c r="O5" s="4">
        <f>Tabla1[Unidades_Defectuosas] / Tabla1[Unidades_Producidas]</f>
        <v>2.1929824561403508E-2</v>
      </c>
      <c r="P5" s="4">
        <f>Tabla1[Unidades_Buenas] / Tabla1[Unidades_Producidas]</f>
        <v>0.97807017543859653</v>
      </c>
      <c r="Q5" s="3">
        <f>IF(Tabla1[Tipo_Defecto_Principal]="Falla de material", 3, IF(Tabla1[Tipo_Defecto_Principal]="Dimensión fuera de especificación", 2, 1))</f>
        <v>1</v>
      </c>
    </row>
    <row r="6" spans="1:17" x14ac:dyDescent="0.3">
      <c r="A6" s="2">
        <v>45200</v>
      </c>
      <c r="B6" t="s">
        <v>17</v>
      </c>
      <c r="C6" t="s">
        <v>9</v>
      </c>
      <c r="D6">
        <v>234</v>
      </c>
      <c r="E6">
        <v>7</v>
      </c>
      <c r="F6" t="s">
        <v>10</v>
      </c>
      <c r="G6">
        <v>0</v>
      </c>
      <c r="H6" t="s">
        <v>26</v>
      </c>
      <c r="I6">
        <f>(480 - Tabla1[Minutos_Paro]) / 60</f>
        <v>8</v>
      </c>
      <c r="J6" t="str">
        <f>IF(Tabla1[Unidades_Defectuosas] &gt; Tabla1[Unidades_Producidas], "ERROR", "OK")</f>
        <v>OK</v>
      </c>
      <c r="K6" s="1">
        <f>Tabla1[Minutos_Paro] / Tabla1[Unidades_Producidas]</f>
        <v>0</v>
      </c>
      <c r="L6">
        <f>Tabla1[Unidades_Producidas] - Tabla1[Unidades_Defectuosas]</f>
        <v>227</v>
      </c>
      <c r="M6" s="3" t="str">
        <f>IF(Tabla1[Minutos_Paro]=0,"Nula",IF(Tabla1[Minutos_Paro]&lt;30,"Baja",IF(Tabla1[Minutos_Paro]&lt;60,"Media","Alta")))</f>
        <v>Nula</v>
      </c>
      <c r="N6" s="3">
        <f>250</f>
        <v>250</v>
      </c>
      <c r="O6" s="4">
        <f>Tabla1[Unidades_Defectuosas] / Tabla1[Unidades_Producidas]</f>
        <v>2.9914529914529916E-2</v>
      </c>
      <c r="P6" s="4">
        <f>Tabla1[Unidades_Buenas] / Tabla1[Unidades_Producidas]</f>
        <v>0.97008547008547008</v>
      </c>
      <c r="Q6" s="3">
        <f>IF(Tabla1[Tipo_Defecto_Principal]="Falla de material", 3, IF(Tabla1[Tipo_Defecto_Principal]="Dimensión fuera de especificación", 2, 1))</f>
        <v>2</v>
      </c>
    </row>
    <row r="7" spans="1:17" x14ac:dyDescent="0.3">
      <c r="A7" s="2">
        <v>45200</v>
      </c>
      <c r="B7" t="s">
        <v>17</v>
      </c>
      <c r="C7" t="s">
        <v>12</v>
      </c>
      <c r="D7">
        <v>232</v>
      </c>
      <c r="E7">
        <v>15</v>
      </c>
      <c r="F7" t="s">
        <v>18</v>
      </c>
      <c r="G7">
        <v>0</v>
      </c>
      <c r="H7" t="s">
        <v>26</v>
      </c>
      <c r="I7">
        <f>(480 - Tabla1[Minutos_Paro]) / 60</f>
        <v>8</v>
      </c>
      <c r="J7" t="str">
        <f>IF(Tabla1[Unidades_Defectuosas] &gt; Tabla1[Unidades_Producidas], "ERROR", "OK")</f>
        <v>OK</v>
      </c>
      <c r="K7" s="1">
        <f>Tabla1[Minutos_Paro] / Tabla1[Unidades_Producidas]</f>
        <v>0</v>
      </c>
      <c r="L7">
        <f>Tabla1[Unidades_Producidas] - Tabla1[Unidades_Defectuosas]</f>
        <v>217</v>
      </c>
      <c r="M7" s="3" t="str">
        <f>IF(Tabla1[Minutos_Paro]=0,"Nula",IF(Tabla1[Minutos_Paro]&lt;30,"Baja",IF(Tabla1[Minutos_Paro]&lt;60,"Media","Alta")))</f>
        <v>Nula</v>
      </c>
      <c r="N7" s="3">
        <f>250</f>
        <v>250</v>
      </c>
      <c r="O7" s="4">
        <f>Tabla1[Unidades_Defectuosas] / Tabla1[Unidades_Producidas]</f>
        <v>6.4655172413793108E-2</v>
      </c>
      <c r="P7" s="4">
        <f>Tabla1[Unidades_Buenas] / Tabla1[Unidades_Producidas]</f>
        <v>0.93534482758620685</v>
      </c>
      <c r="Q7" s="3">
        <f>IF(Tabla1[Tipo_Defecto_Principal]="Falla de material", 3, IF(Tabla1[Tipo_Defecto_Principal]="Dimensión fuera de especificación", 2, 1))</f>
        <v>1</v>
      </c>
    </row>
    <row r="8" spans="1:17" x14ac:dyDescent="0.3">
      <c r="A8" s="2">
        <v>45200</v>
      </c>
      <c r="B8" t="s">
        <v>17</v>
      </c>
      <c r="C8" t="s">
        <v>13</v>
      </c>
      <c r="D8">
        <v>223</v>
      </c>
      <c r="E8">
        <v>5</v>
      </c>
      <c r="F8" t="s">
        <v>10</v>
      </c>
      <c r="G8">
        <v>0</v>
      </c>
      <c r="H8" t="s">
        <v>26</v>
      </c>
      <c r="I8">
        <f>(480 - Tabla1[Minutos_Paro]) / 60</f>
        <v>8</v>
      </c>
      <c r="J8" t="str">
        <f>IF(Tabla1[Unidades_Defectuosas] &gt; Tabla1[Unidades_Producidas], "ERROR", "OK")</f>
        <v>OK</v>
      </c>
      <c r="K8" s="1">
        <f>Tabla1[Minutos_Paro] / Tabla1[Unidades_Producidas]</f>
        <v>0</v>
      </c>
      <c r="L8">
        <f>Tabla1[Unidades_Producidas] - Tabla1[Unidades_Defectuosas]</f>
        <v>218</v>
      </c>
      <c r="M8" s="3" t="str">
        <f>IF(Tabla1[Minutos_Paro]=0,"Nula",IF(Tabla1[Minutos_Paro]&lt;30,"Baja",IF(Tabla1[Minutos_Paro]&lt;60,"Media","Alta")))</f>
        <v>Nula</v>
      </c>
      <c r="N8" s="3">
        <f>250</f>
        <v>250</v>
      </c>
      <c r="O8" s="4">
        <f>Tabla1[Unidades_Defectuosas] / Tabla1[Unidades_Producidas]</f>
        <v>2.2421524663677129E-2</v>
      </c>
      <c r="P8" s="4">
        <f>Tabla1[Unidades_Buenas] / Tabla1[Unidades_Producidas]</f>
        <v>0.97757847533632292</v>
      </c>
      <c r="Q8" s="3">
        <f>IF(Tabla1[Tipo_Defecto_Principal]="Falla de material", 3, IF(Tabla1[Tipo_Defecto_Principal]="Dimensión fuera de especificación", 2, 1))</f>
        <v>2</v>
      </c>
    </row>
    <row r="9" spans="1:17" x14ac:dyDescent="0.3">
      <c r="A9" s="2">
        <v>45200</v>
      </c>
      <c r="B9" t="s">
        <v>17</v>
      </c>
      <c r="C9" t="s">
        <v>15</v>
      </c>
      <c r="D9">
        <v>183</v>
      </c>
      <c r="E9">
        <v>8</v>
      </c>
      <c r="F9" t="s">
        <v>10</v>
      </c>
      <c r="G9">
        <v>0</v>
      </c>
      <c r="H9" t="s">
        <v>26</v>
      </c>
      <c r="I9">
        <f>(480 - Tabla1[Minutos_Paro]) / 60</f>
        <v>8</v>
      </c>
      <c r="J9" t="str">
        <f>IF(Tabla1[Unidades_Defectuosas] &gt; Tabla1[Unidades_Producidas], "ERROR", "OK")</f>
        <v>OK</v>
      </c>
      <c r="K9" s="1">
        <f>Tabla1[Minutos_Paro] / Tabla1[Unidades_Producidas]</f>
        <v>0</v>
      </c>
      <c r="L9">
        <f>Tabla1[Unidades_Producidas] - Tabla1[Unidades_Defectuosas]</f>
        <v>175</v>
      </c>
      <c r="M9" s="3" t="str">
        <f>IF(Tabla1[Minutos_Paro]=0,"Nula",IF(Tabla1[Minutos_Paro]&lt;30,"Baja",IF(Tabla1[Minutos_Paro]&lt;60,"Media","Alta")))</f>
        <v>Nula</v>
      </c>
      <c r="N9" s="3">
        <f>250</f>
        <v>250</v>
      </c>
      <c r="O9" s="4">
        <f>Tabla1[Unidades_Defectuosas] / Tabla1[Unidades_Producidas]</f>
        <v>4.3715846994535519E-2</v>
      </c>
      <c r="P9" s="4">
        <f>Tabla1[Unidades_Buenas] / Tabla1[Unidades_Producidas]</f>
        <v>0.95628415300546443</v>
      </c>
      <c r="Q9" s="3">
        <f>IF(Tabla1[Tipo_Defecto_Principal]="Falla de material", 3, IF(Tabla1[Tipo_Defecto_Principal]="Dimensión fuera de especificación", 2, 1))</f>
        <v>2</v>
      </c>
    </row>
    <row r="10" spans="1:17" x14ac:dyDescent="0.3">
      <c r="A10" s="2">
        <v>45200</v>
      </c>
      <c r="B10" t="s">
        <v>19</v>
      </c>
      <c r="C10" t="s">
        <v>9</v>
      </c>
      <c r="D10">
        <v>219</v>
      </c>
      <c r="E10">
        <v>9</v>
      </c>
      <c r="F10" t="s">
        <v>18</v>
      </c>
      <c r="G10">
        <v>0</v>
      </c>
      <c r="H10" t="s">
        <v>26</v>
      </c>
      <c r="I10">
        <f>(480 - Tabla1[Minutos_Paro]) / 60</f>
        <v>8</v>
      </c>
      <c r="J10" t="str">
        <f>IF(Tabla1[Unidades_Defectuosas] &gt; Tabla1[Unidades_Producidas], "ERROR", "OK")</f>
        <v>OK</v>
      </c>
      <c r="K10" s="1">
        <f>Tabla1[Minutos_Paro] / Tabla1[Unidades_Producidas]</f>
        <v>0</v>
      </c>
      <c r="L10">
        <f>Tabla1[Unidades_Producidas] - Tabla1[Unidades_Defectuosas]</f>
        <v>210</v>
      </c>
      <c r="M10" s="3" t="str">
        <f>IF(Tabla1[Minutos_Paro]=0,"Nula",IF(Tabla1[Minutos_Paro]&lt;30,"Baja",IF(Tabla1[Minutos_Paro]&lt;60,"Media","Alta")))</f>
        <v>Nula</v>
      </c>
      <c r="N10" s="3">
        <f>250</f>
        <v>250</v>
      </c>
      <c r="O10" s="4">
        <f>Tabla1[Unidades_Defectuosas] / Tabla1[Unidades_Producidas]</f>
        <v>4.1095890410958902E-2</v>
      </c>
      <c r="P10" s="4">
        <f>Tabla1[Unidades_Buenas] / Tabla1[Unidades_Producidas]</f>
        <v>0.95890410958904104</v>
      </c>
      <c r="Q10" s="3">
        <f>IF(Tabla1[Tipo_Defecto_Principal]="Falla de material", 3, IF(Tabla1[Tipo_Defecto_Principal]="Dimensión fuera de especificación", 2, 1))</f>
        <v>1</v>
      </c>
    </row>
    <row r="11" spans="1:17" x14ac:dyDescent="0.3">
      <c r="A11" s="2">
        <v>45200</v>
      </c>
      <c r="B11" t="s">
        <v>19</v>
      </c>
      <c r="C11" t="s">
        <v>12</v>
      </c>
      <c r="D11">
        <v>180</v>
      </c>
      <c r="E11">
        <v>11</v>
      </c>
      <c r="F11" t="s">
        <v>20</v>
      </c>
      <c r="G11">
        <v>15</v>
      </c>
      <c r="H11" t="s">
        <v>21</v>
      </c>
      <c r="I11">
        <f>(480 - Tabla1[Minutos_Paro]) / 60</f>
        <v>7.75</v>
      </c>
      <c r="J11" t="str">
        <f>IF(Tabla1[Unidades_Defectuosas] &gt; Tabla1[Unidades_Producidas], "ERROR", "OK")</f>
        <v>OK</v>
      </c>
      <c r="K11" s="1">
        <f>Tabla1[Minutos_Paro] / Tabla1[Unidades_Producidas]</f>
        <v>8.3333333333333329E-2</v>
      </c>
      <c r="L11">
        <f>Tabla1[Unidades_Producidas] - Tabla1[Unidades_Defectuosas]</f>
        <v>169</v>
      </c>
      <c r="M11" s="3" t="str">
        <f>IF(Tabla1[Minutos_Paro]=0,"Nula",IF(Tabla1[Minutos_Paro]&lt;30,"Baja",IF(Tabla1[Minutos_Paro]&lt;60,"Media","Alta")))</f>
        <v>Baja</v>
      </c>
      <c r="N11" s="3">
        <f>250</f>
        <v>250</v>
      </c>
      <c r="O11" s="4">
        <f>Tabla1[Unidades_Defectuosas] / Tabla1[Unidades_Producidas]</f>
        <v>6.1111111111111109E-2</v>
      </c>
      <c r="P11" s="4">
        <f>Tabla1[Unidades_Buenas] / Tabla1[Unidades_Producidas]</f>
        <v>0.93888888888888888</v>
      </c>
      <c r="Q11" s="3">
        <f>IF(Tabla1[Tipo_Defecto_Principal]="Falla de material", 3, IF(Tabla1[Tipo_Defecto_Principal]="Dimensión fuera de especificación", 2, 1))</f>
        <v>1</v>
      </c>
    </row>
    <row r="12" spans="1:17" x14ac:dyDescent="0.3">
      <c r="A12" s="2">
        <v>45200</v>
      </c>
      <c r="B12" t="s">
        <v>19</v>
      </c>
      <c r="C12" t="s">
        <v>13</v>
      </c>
      <c r="D12">
        <v>187</v>
      </c>
      <c r="E12">
        <v>4</v>
      </c>
      <c r="F12" t="s">
        <v>16</v>
      </c>
      <c r="G12">
        <v>15</v>
      </c>
      <c r="H12" t="s">
        <v>11</v>
      </c>
      <c r="I12">
        <f>(480 - Tabla1[Minutos_Paro]) / 60</f>
        <v>7.75</v>
      </c>
      <c r="J12" t="str">
        <f>IF(Tabla1[Unidades_Defectuosas] &gt; Tabla1[Unidades_Producidas], "ERROR", "OK")</f>
        <v>OK</v>
      </c>
      <c r="K12" s="1">
        <f>Tabla1[Minutos_Paro] / Tabla1[Unidades_Producidas]</f>
        <v>8.0213903743315509E-2</v>
      </c>
      <c r="L12">
        <f>Tabla1[Unidades_Producidas] - Tabla1[Unidades_Defectuosas]</f>
        <v>183</v>
      </c>
      <c r="M12" s="3" t="str">
        <f>IF(Tabla1[Minutos_Paro]=0,"Nula",IF(Tabla1[Minutos_Paro]&lt;30,"Baja",IF(Tabla1[Minutos_Paro]&lt;60,"Media","Alta")))</f>
        <v>Baja</v>
      </c>
      <c r="N12" s="3">
        <f>250</f>
        <v>250</v>
      </c>
      <c r="O12" s="4">
        <f>Tabla1[Unidades_Defectuosas] / Tabla1[Unidades_Producidas]</f>
        <v>2.1390374331550801E-2</v>
      </c>
      <c r="P12" s="4">
        <f>Tabla1[Unidades_Buenas] / Tabla1[Unidades_Producidas]</f>
        <v>0.97860962566844922</v>
      </c>
      <c r="Q12" s="3">
        <f>IF(Tabla1[Tipo_Defecto_Principal]="Falla de material", 3, IF(Tabla1[Tipo_Defecto_Principal]="Dimensión fuera de especificación", 2, 1))</f>
        <v>1</v>
      </c>
    </row>
    <row r="13" spans="1:17" x14ac:dyDescent="0.3">
      <c r="A13" s="2">
        <v>45200</v>
      </c>
      <c r="B13" t="s">
        <v>19</v>
      </c>
      <c r="C13" t="s">
        <v>15</v>
      </c>
      <c r="D13">
        <v>213</v>
      </c>
      <c r="E13">
        <v>6</v>
      </c>
      <c r="F13" t="s">
        <v>10</v>
      </c>
      <c r="G13">
        <v>0</v>
      </c>
      <c r="H13" t="s">
        <v>26</v>
      </c>
      <c r="I13">
        <f>(480 - Tabla1[Minutos_Paro]) / 60</f>
        <v>8</v>
      </c>
      <c r="J13" t="str">
        <f>IF(Tabla1[Unidades_Defectuosas] &gt; Tabla1[Unidades_Producidas], "ERROR", "OK")</f>
        <v>OK</v>
      </c>
      <c r="K13" s="1">
        <f>Tabla1[Minutos_Paro] / Tabla1[Unidades_Producidas]</f>
        <v>0</v>
      </c>
      <c r="L13">
        <f>Tabla1[Unidades_Producidas] - Tabla1[Unidades_Defectuosas]</f>
        <v>207</v>
      </c>
      <c r="M13" s="3" t="str">
        <f>IF(Tabla1[Minutos_Paro]=0,"Nula",IF(Tabla1[Minutos_Paro]&lt;30,"Baja",IF(Tabla1[Minutos_Paro]&lt;60,"Media","Alta")))</f>
        <v>Nula</v>
      </c>
      <c r="N13" s="3">
        <f>250</f>
        <v>250</v>
      </c>
      <c r="O13" s="4">
        <f>Tabla1[Unidades_Defectuosas] / Tabla1[Unidades_Producidas]</f>
        <v>2.8169014084507043E-2</v>
      </c>
      <c r="P13" s="4">
        <f>Tabla1[Unidades_Buenas] / Tabla1[Unidades_Producidas]</f>
        <v>0.971830985915493</v>
      </c>
      <c r="Q13" s="3">
        <f>IF(Tabla1[Tipo_Defecto_Principal]="Falla de material", 3, IF(Tabla1[Tipo_Defecto_Principal]="Dimensión fuera de especificación", 2, 1))</f>
        <v>2</v>
      </c>
    </row>
    <row r="14" spans="1:17" x14ac:dyDescent="0.3">
      <c r="A14" s="2">
        <v>45201</v>
      </c>
      <c r="B14" t="s">
        <v>8</v>
      </c>
      <c r="C14" t="s">
        <v>9</v>
      </c>
      <c r="D14">
        <v>226</v>
      </c>
      <c r="E14">
        <v>7</v>
      </c>
      <c r="F14" t="s">
        <v>20</v>
      </c>
      <c r="G14">
        <v>0</v>
      </c>
      <c r="H14" t="s">
        <v>26</v>
      </c>
      <c r="I14">
        <f>(480 - Tabla1[Minutos_Paro]) / 60</f>
        <v>8</v>
      </c>
      <c r="J14" t="str">
        <f>IF(Tabla1[Unidades_Defectuosas] &gt; Tabla1[Unidades_Producidas], "ERROR", "OK")</f>
        <v>OK</v>
      </c>
      <c r="K14" s="1">
        <f>Tabla1[Minutos_Paro] / Tabla1[Unidades_Producidas]</f>
        <v>0</v>
      </c>
      <c r="L14">
        <f>Tabla1[Unidades_Producidas] - Tabla1[Unidades_Defectuosas]</f>
        <v>219</v>
      </c>
      <c r="M14" s="3" t="str">
        <f>IF(Tabla1[Minutos_Paro]=0,"Nula",IF(Tabla1[Minutos_Paro]&lt;30,"Baja",IF(Tabla1[Minutos_Paro]&lt;60,"Media","Alta")))</f>
        <v>Nula</v>
      </c>
      <c r="N14" s="3">
        <f>250</f>
        <v>250</v>
      </c>
      <c r="O14" s="4">
        <f>Tabla1[Unidades_Defectuosas] / Tabla1[Unidades_Producidas]</f>
        <v>3.0973451327433628E-2</v>
      </c>
      <c r="P14" s="4">
        <f>Tabla1[Unidades_Buenas] / Tabla1[Unidades_Producidas]</f>
        <v>0.96902654867256632</v>
      </c>
      <c r="Q14" s="3">
        <f>IF(Tabla1[Tipo_Defecto_Principal]="Falla de material", 3, IF(Tabla1[Tipo_Defecto_Principal]="Dimensión fuera de especificación", 2, 1))</f>
        <v>1</v>
      </c>
    </row>
    <row r="15" spans="1:17" x14ac:dyDescent="0.3">
      <c r="A15" s="2">
        <v>45201</v>
      </c>
      <c r="B15" t="s">
        <v>8</v>
      </c>
      <c r="C15" t="s">
        <v>12</v>
      </c>
      <c r="D15">
        <v>242</v>
      </c>
      <c r="E15">
        <v>26</v>
      </c>
      <c r="F15" t="s">
        <v>10</v>
      </c>
      <c r="G15">
        <v>0</v>
      </c>
      <c r="H15" t="s">
        <v>26</v>
      </c>
      <c r="I15">
        <f>(480 - Tabla1[Minutos_Paro]) / 60</f>
        <v>8</v>
      </c>
      <c r="J15" t="str">
        <f>IF(Tabla1[Unidades_Defectuosas] &gt; Tabla1[Unidades_Producidas], "ERROR", "OK")</f>
        <v>OK</v>
      </c>
      <c r="K15" s="1">
        <f>Tabla1[Minutos_Paro] / Tabla1[Unidades_Producidas]</f>
        <v>0</v>
      </c>
      <c r="L15">
        <f>Tabla1[Unidades_Producidas] - Tabla1[Unidades_Defectuosas]</f>
        <v>216</v>
      </c>
      <c r="M15" s="3" t="str">
        <f>IF(Tabla1[Minutos_Paro]=0,"Nula",IF(Tabla1[Minutos_Paro]&lt;30,"Baja",IF(Tabla1[Minutos_Paro]&lt;60,"Media","Alta")))</f>
        <v>Nula</v>
      </c>
      <c r="N15" s="3">
        <f>250</f>
        <v>250</v>
      </c>
      <c r="O15" s="4">
        <f>Tabla1[Unidades_Defectuosas] / Tabla1[Unidades_Producidas]</f>
        <v>0.10743801652892562</v>
      </c>
      <c r="P15" s="4">
        <f>Tabla1[Unidades_Buenas] / Tabla1[Unidades_Producidas]</f>
        <v>0.8925619834710744</v>
      </c>
      <c r="Q15" s="3">
        <f>IF(Tabla1[Tipo_Defecto_Principal]="Falla de material", 3, IF(Tabla1[Tipo_Defecto_Principal]="Dimensión fuera de especificación", 2, 1))</f>
        <v>2</v>
      </c>
    </row>
    <row r="16" spans="1:17" x14ac:dyDescent="0.3">
      <c r="A16" s="2">
        <v>45201</v>
      </c>
      <c r="B16" t="s">
        <v>8</v>
      </c>
      <c r="C16" t="s">
        <v>13</v>
      </c>
      <c r="D16">
        <v>183</v>
      </c>
      <c r="E16">
        <v>5</v>
      </c>
      <c r="F16" t="s">
        <v>10</v>
      </c>
      <c r="G16">
        <v>0</v>
      </c>
      <c r="H16" t="s">
        <v>26</v>
      </c>
      <c r="I16">
        <f>(480 - Tabla1[Minutos_Paro]) / 60</f>
        <v>8</v>
      </c>
      <c r="J16" t="str">
        <f>IF(Tabla1[Unidades_Defectuosas] &gt; Tabla1[Unidades_Producidas], "ERROR", "OK")</f>
        <v>OK</v>
      </c>
      <c r="K16" s="1">
        <f>Tabla1[Minutos_Paro] / Tabla1[Unidades_Producidas]</f>
        <v>0</v>
      </c>
      <c r="L16">
        <f>Tabla1[Unidades_Producidas] - Tabla1[Unidades_Defectuosas]</f>
        <v>178</v>
      </c>
      <c r="M16" s="3" t="str">
        <f>IF(Tabla1[Minutos_Paro]=0,"Nula",IF(Tabla1[Minutos_Paro]&lt;30,"Baja",IF(Tabla1[Minutos_Paro]&lt;60,"Media","Alta")))</f>
        <v>Nula</v>
      </c>
      <c r="N16" s="3">
        <f>250</f>
        <v>250</v>
      </c>
      <c r="O16" s="4">
        <f>Tabla1[Unidades_Defectuosas] / Tabla1[Unidades_Producidas]</f>
        <v>2.7322404371584699E-2</v>
      </c>
      <c r="P16" s="4">
        <f>Tabla1[Unidades_Buenas] / Tabla1[Unidades_Producidas]</f>
        <v>0.97267759562841527</v>
      </c>
      <c r="Q16" s="3">
        <f>IF(Tabla1[Tipo_Defecto_Principal]="Falla de material", 3, IF(Tabla1[Tipo_Defecto_Principal]="Dimensión fuera de especificación", 2, 1))</f>
        <v>2</v>
      </c>
    </row>
    <row r="17" spans="1:17" x14ac:dyDescent="0.3">
      <c r="A17" s="2">
        <v>45201</v>
      </c>
      <c r="B17" t="s">
        <v>8</v>
      </c>
      <c r="C17" t="s">
        <v>15</v>
      </c>
      <c r="D17">
        <v>207</v>
      </c>
      <c r="E17">
        <v>11</v>
      </c>
      <c r="F17" t="s">
        <v>10</v>
      </c>
      <c r="G17">
        <v>0</v>
      </c>
      <c r="H17" t="s">
        <v>26</v>
      </c>
      <c r="I17">
        <f>(480 - Tabla1[Minutos_Paro]) / 60</f>
        <v>8</v>
      </c>
      <c r="J17" t="str">
        <f>IF(Tabla1[Unidades_Defectuosas] &gt; Tabla1[Unidades_Producidas], "ERROR", "OK")</f>
        <v>OK</v>
      </c>
      <c r="K17" s="1">
        <f>Tabla1[Minutos_Paro] / Tabla1[Unidades_Producidas]</f>
        <v>0</v>
      </c>
      <c r="L17">
        <f>Tabla1[Unidades_Producidas] - Tabla1[Unidades_Defectuosas]</f>
        <v>196</v>
      </c>
      <c r="M17" s="3" t="str">
        <f>IF(Tabla1[Minutos_Paro]=0,"Nula",IF(Tabla1[Minutos_Paro]&lt;30,"Baja",IF(Tabla1[Minutos_Paro]&lt;60,"Media","Alta")))</f>
        <v>Nula</v>
      </c>
      <c r="N17" s="3">
        <f>250</f>
        <v>250</v>
      </c>
      <c r="O17" s="4">
        <f>Tabla1[Unidades_Defectuosas] / Tabla1[Unidades_Producidas]</f>
        <v>5.3140096618357488E-2</v>
      </c>
      <c r="P17" s="4">
        <f>Tabla1[Unidades_Buenas] / Tabla1[Unidades_Producidas]</f>
        <v>0.9468599033816425</v>
      </c>
      <c r="Q17" s="3">
        <f>IF(Tabla1[Tipo_Defecto_Principal]="Falla de material", 3, IF(Tabla1[Tipo_Defecto_Principal]="Dimensión fuera de especificación", 2, 1))</f>
        <v>2</v>
      </c>
    </row>
    <row r="18" spans="1:17" x14ac:dyDescent="0.3">
      <c r="A18" s="2">
        <v>45201</v>
      </c>
      <c r="B18" t="s">
        <v>17</v>
      </c>
      <c r="C18" t="s">
        <v>9</v>
      </c>
      <c r="D18">
        <v>241</v>
      </c>
      <c r="E18">
        <v>0</v>
      </c>
      <c r="F18" t="s">
        <v>22</v>
      </c>
      <c r="G18">
        <v>0</v>
      </c>
      <c r="H18" t="s">
        <v>26</v>
      </c>
      <c r="I18">
        <f>(480 - Tabla1[Minutos_Paro]) / 60</f>
        <v>8</v>
      </c>
      <c r="J18" t="str">
        <f>IF(Tabla1[Unidades_Defectuosas] &gt; Tabla1[Unidades_Producidas], "ERROR", "OK")</f>
        <v>OK</v>
      </c>
      <c r="K18" s="1">
        <f>Tabla1[Minutos_Paro] / Tabla1[Unidades_Producidas]</f>
        <v>0</v>
      </c>
      <c r="L18">
        <f>Tabla1[Unidades_Producidas] - Tabla1[Unidades_Defectuosas]</f>
        <v>241</v>
      </c>
      <c r="M18" s="3" t="str">
        <f>IF(Tabla1[Minutos_Paro]=0,"Nula",IF(Tabla1[Minutos_Paro]&lt;30,"Baja",IF(Tabla1[Minutos_Paro]&lt;60,"Media","Alta")))</f>
        <v>Nula</v>
      </c>
      <c r="N18" s="3">
        <f>250</f>
        <v>250</v>
      </c>
      <c r="O18" s="4">
        <f>Tabla1[Unidades_Defectuosas] / Tabla1[Unidades_Producidas]</f>
        <v>0</v>
      </c>
      <c r="P18" s="4">
        <f>Tabla1[Unidades_Buenas] / Tabla1[Unidades_Producidas]</f>
        <v>1</v>
      </c>
      <c r="Q18" s="3">
        <f>IF(Tabla1[Tipo_Defecto_Principal]="Falla de material", 3, IF(Tabla1[Tipo_Defecto_Principal]="Dimensión fuera de especificación", 2, 1))</f>
        <v>1</v>
      </c>
    </row>
    <row r="19" spans="1:17" x14ac:dyDescent="0.3">
      <c r="A19" s="2">
        <v>45201</v>
      </c>
      <c r="B19" t="s">
        <v>17</v>
      </c>
      <c r="C19" t="s">
        <v>12</v>
      </c>
      <c r="D19">
        <v>182</v>
      </c>
      <c r="E19">
        <v>14</v>
      </c>
      <c r="F19" t="s">
        <v>10</v>
      </c>
      <c r="G19">
        <v>0</v>
      </c>
      <c r="H19" t="s">
        <v>26</v>
      </c>
      <c r="I19">
        <f>(480 - Tabla1[Minutos_Paro]) / 60</f>
        <v>8</v>
      </c>
      <c r="J19" t="str">
        <f>IF(Tabla1[Unidades_Defectuosas] &gt; Tabla1[Unidades_Producidas], "ERROR", "OK")</f>
        <v>OK</v>
      </c>
      <c r="K19" s="1">
        <f>Tabla1[Minutos_Paro] / Tabla1[Unidades_Producidas]</f>
        <v>0</v>
      </c>
      <c r="L19">
        <f>Tabla1[Unidades_Producidas] - Tabla1[Unidades_Defectuosas]</f>
        <v>168</v>
      </c>
      <c r="M19" s="3" t="str">
        <f>IF(Tabla1[Minutos_Paro]=0,"Nula",IF(Tabla1[Minutos_Paro]&lt;30,"Baja",IF(Tabla1[Minutos_Paro]&lt;60,"Media","Alta")))</f>
        <v>Nula</v>
      </c>
      <c r="N19" s="3">
        <f>250</f>
        <v>250</v>
      </c>
      <c r="O19" s="4">
        <f>Tabla1[Unidades_Defectuosas] / Tabla1[Unidades_Producidas]</f>
        <v>7.6923076923076927E-2</v>
      </c>
      <c r="P19" s="4">
        <f>Tabla1[Unidades_Buenas] / Tabla1[Unidades_Producidas]</f>
        <v>0.92307692307692313</v>
      </c>
      <c r="Q19" s="3">
        <f>IF(Tabla1[Tipo_Defecto_Principal]="Falla de material", 3, IF(Tabla1[Tipo_Defecto_Principal]="Dimensión fuera de especificación", 2, 1))</f>
        <v>2</v>
      </c>
    </row>
    <row r="20" spans="1:17" x14ac:dyDescent="0.3">
      <c r="A20" s="2">
        <v>45201</v>
      </c>
      <c r="B20" t="s">
        <v>17</v>
      </c>
      <c r="C20" t="s">
        <v>13</v>
      </c>
      <c r="D20">
        <v>223</v>
      </c>
      <c r="E20">
        <v>5</v>
      </c>
      <c r="F20" t="s">
        <v>16</v>
      </c>
      <c r="G20">
        <v>0</v>
      </c>
      <c r="H20" t="s">
        <v>26</v>
      </c>
      <c r="I20">
        <f>(480 - Tabla1[Minutos_Paro]) / 60</f>
        <v>8</v>
      </c>
      <c r="J20" t="str">
        <f>IF(Tabla1[Unidades_Defectuosas] &gt; Tabla1[Unidades_Producidas], "ERROR", "OK")</f>
        <v>OK</v>
      </c>
      <c r="K20" s="1">
        <f>Tabla1[Minutos_Paro] / Tabla1[Unidades_Producidas]</f>
        <v>0</v>
      </c>
      <c r="L20">
        <f>Tabla1[Unidades_Producidas] - Tabla1[Unidades_Defectuosas]</f>
        <v>218</v>
      </c>
      <c r="M20" s="3" t="str">
        <f>IF(Tabla1[Minutos_Paro]=0,"Nula",IF(Tabla1[Minutos_Paro]&lt;30,"Baja",IF(Tabla1[Minutos_Paro]&lt;60,"Media","Alta")))</f>
        <v>Nula</v>
      </c>
      <c r="N20" s="3">
        <f>250</f>
        <v>250</v>
      </c>
      <c r="O20" s="4">
        <f>Tabla1[Unidades_Defectuosas] / Tabla1[Unidades_Producidas]</f>
        <v>2.2421524663677129E-2</v>
      </c>
      <c r="P20" s="4">
        <f>Tabla1[Unidades_Buenas] / Tabla1[Unidades_Producidas]</f>
        <v>0.97757847533632292</v>
      </c>
      <c r="Q20" s="3">
        <f>IF(Tabla1[Tipo_Defecto_Principal]="Falla de material", 3, IF(Tabla1[Tipo_Defecto_Principal]="Dimensión fuera de especificación", 2, 1))</f>
        <v>1</v>
      </c>
    </row>
    <row r="21" spans="1:17" x14ac:dyDescent="0.3">
      <c r="A21" s="2">
        <v>45201</v>
      </c>
      <c r="B21" t="s">
        <v>17</v>
      </c>
      <c r="C21" t="s">
        <v>15</v>
      </c>
      <c r="D21">
        <v>191</v>
      </c>
      <c r="E21">
        <v>4</v>
      </c>
      <c r="F21" t="s">
        <v>16</v>
      </c>
      <c r="G21">
        <v>0</v>
      </c>
      <c r="H21" t="s">
        <v>26</v>
      </c>
      <c r="I21">
        <f>(480 - Tabla1[Minutos_Paro]) / 60</f>
        <v>8</v>
      </c>
      <c r="J21" t="str">
        <f>IF(Tabla1[Unidades_Defectuosas] &gt; Tabla1[Unidades_Producidas], "ERROR", "OK")</f>
        <v>OK</v>
      </c>
      <c r="K21" s="1">
        <f>Tabla1[Minutos_Paro] / Tabla1[Unidades_Producidas]</f>
        <v>0</v>
      </c>
      <c r="L21">
        <f>Tabla1[Unidades_Producidas] - Tabla1[Unidades_Defectuosas]</f>
        <v>187</v>
      </c>
      <c r="M21" s="3" t="str">
        <f>IF(Tabla1[Minutos_Paro]=0,"Nula",IF(Tabla1[Minutos_Paro]&lt;30,"Baja",IF(Tabla1[Minutos_Paro]&lt;60,"Media","Alta")))</f>
        <v>Nula</v>
      </c>
      <c r="N21" s="3">
        <f>250</f>
        <v>250</v>
      </c>
      <c r="O21" s="4">
        <f>Tabla1[Unidades_Defectuosas] / Tabla1[Unidades_Producidas]</f>
        <v>2.0942408376963352E-2</v>
      </c>
      <c r="P21" s="4">
        <f>Tabla1[Unidades_Buenas] / Tabla1[Unidades_Producidas]</f>
        <v>0.97905759162303663</v>
      </c>
      <c r="Q21" s="3">
        <f>IF(Tabla1[Tipo_Defecto_Principal]="Falla de material", 3, IF(Tabla1[Tipo_Defecto_Principal]="Dimensión fuera de especificación", 2, 1))</f>
        <v>1</v>
      </c>
    </row>
    <row r="22" spans="1:17" x14ac:dyDescent="0.3">
      <c r="A22" s="2">
        <v>45201</v>
      </c>
      <c r="B22" t="s">
        <v>19</v>
      </c>
      <c r="C22" t="s">
        <v>9</v>
      </c>
      <c r="D22">
        <v>181</v>
      </c>
      <c r="E22">
        <v>3</v>
      </c>
      <c r="F22" t="s">
        <v>16</v>
      </c>
      <c r="G22">
        <v>0</v>
      </c>
      <c r="H22" t="s">
        <v>26</v>
      </c>
      <c r="I22">
        <f>(480 - Tabla1[Minutos_Paro]) / 60</f>
        <v>8</v>
      </c>
      <c r="J22" t="str">
        <f>IF(Tabla1[Unidades_Defectuosas] &gt; Tabla1[Unidades_Producidas], "ERROR", "OK")</f>
        <v>OK</v>
      </c>
      <c r="K22" s="1">
        <f>Tabla1[Minutos_Paro] / Tabla1[Unidades_Producidas]</f>
        <v>0</v>
      </c>
      <c r="L22">
        <f>Tabla1[Unidades_Producidas] - Tabla1[Unidades_Defectuosas]</f>
        <v>178</v>
      </c>
      <c r="M22" s="3" t="str">
        <f>IF(Tabla1[Minutos_Paro]=0,"Nula",IF(Tabla1[Minutos_Paro]&lt;30,"Baja",IF(Tabla1[Minutos_Paro]&lt;60,"Media","Alta")))</f>
        <v>Nula</v>
      </c>
      <c r="N22" s="3">
        <f>250</f>
        <v>250</v>
      </c>
      <c r="O22" s="4">
        <f>Tabla1[Unidades_Defectuosas] / Tabla1[Unidades_Producidas]</f>
        <v>1.6574585635359115E-2</v>
      </c>
      <c r="P22" s="4">
        <f>Tabla1[Unidades_Buenas] / Tabla1[Unidades_Producidas]</f>
        <v>0.98342541436464093</v>
      </c>
      <c r="Q22" s="3">
        <f>IF(Tabla1[Tipo_Defecto_Principal]="Falla de material", 3, IF(Tabla1[Tipo_Defecto_Principal]="Dimensión fuera de especificación", 2, 1))</f>
        <v>1</v>
      </c>
    </row>
    <row r="23" spans="1:17" x14ac:dyDescent="0.3">
      <c r="A23" s="2">
        <v>45201</v>
      </c>
      <c r="B23" t="s">
        <v>19</v>
      </c>
      <c r="C23" t="s">
        <v>12</v>
      </c>
      <c r="D23">
        <v>232</v>
      </c>
      <c r="E23">
        <v>15</v>
      </c>
      <c r="F23" t="s">
        <v>10</v>
      </c>
      <c r="G23">
        <v>0</v>
      </c>
      <c r="H23" t="s">
        <v>26</v>
      </c>
      <c r="I23">
        <f>(480 - Tabla1[Minutos_Paro]) / 60</f>
        <v>8</v>
      </c>
      <c r="J23" t="str">
        <f>IF(Tabla1[Unidades_Defectuosas] &gt; Tabla1[Unidades_Producidas], "ERROR", "OK")</f>
        <v>OK</v>
      </c>
      <c r="K23" s="1">
        <f>Tabla1[Minutos_Paro] / Tabla1[Unidades_Producidas]</f>
        <v>0</v>
      </c>
      <c r="L23">
        <f>Tabla1[Unidades_Producidas] - Tabla1[Unidades_Defectuosas]</f>
        <v>217</v>
      </c>
      <c r="M23" s="3" t="str">
        <f>IF(Tabla1[Minutos_Paro]=0,"Nula",IF(Tabla1[Minutos_Paro]&lt;30,"Baja",IF(Tabla1[Minutos_Paro]&lt;60,"Media","Alta")))</f>
        <v>Nula</v>
      </c>
      <c r="N23" s="3">
        <f>250</f>
        <v>250</v>
      </c>
      <c r="O23" s="4">
        <f>Tabla1[Unidades_Defectuosas] / Tabla1[Unidades_Producidas]</f>
        <v>6.4655172413793108E-2</v>
      </c>
      <c r="P23" s="4">
        <f>Tabla1[Unidades_Buenas] / Tabla1[Unidades_Producidas]</f>
        <v>0.93534482758620685</v>
      </c>
      <c r="Q23" s="3">
        <f>IF(Tabla1[Tipo_Defecto_Principal]="Falla de material", 3, IF(Tabla1[Tipo_Defecto_Principal]="Dimensión fuera de especificación", 2, 1))</f>
        <v>2</v>
      </c>
    </row>
    <row r="24" spans="1:17" x14ac:dyDescent="0.3">
      <c r="A24" s="2">
        <v>45201</v>
      </c>
      <c r="B24" t="s">
        <v>19</v>
      </c>
      <c r="C24" t="s">
        <v>13</v>
      </c>
      <c r="D24">
        <v>196</v>
      </c>
      <c r="E24">
        <v>7</v>
      </c>
      <c r="F24" t="s">
        <v>18</v>
      </c>
      <c r="G24">
        <v>0</v>
      </c>
      <c r="H24" t="s">
        <v>26</v>
      </c>
      <c r="I24">
        <f>(480 - Tabla1[Minutos_Paro]) / 60</f>
        <v>8</v>
      </c>
      <c r="J24" t="str">
        <f>IF(Tabla1[Unidades_Defectuosas] &gt; Tabla1[Unidades_Producidas], "ERROR", "OK")</f>
        <v>OK</v>
      </c>
      <c r="K24" s="1">
        <f>Tabla1[Minutos_Paro] / Tabla1[Unidades_Producidas]</f>
        <v>0</v>
      </c>
      <c r="L24">
        <f>Tabla1[Unidades_Producidas] - Tabla1[Unidades_Defectuosas]</f>
        <v>189</v>
      </c>
      <c r="M24" s="3" t="str">
        <f>IF(Tabla1[Minutos_Paro]=0,"Nula",IF(Tabla1[Minutos_Paro]&lt;30,"Baja",IF(Tabla1[Minutos_Paro]&lt;60,"Media","Alta")))</f>
        <v>Nula</v>
      </c>
      <c r="N24" s="3">
        <f>250</f>
        <v>250</v>
      </c>
      <c r="O24" s="4">
        <f>Tabla1[Unidades_Defectuosas] / Tabla1[Unidades_Producidas]</f>
        <v>3.5714285714285712E-2</v>
      </c>
      <c r="P24" s="4">
        <f>Tabla1[Unidades_Buenas] / Tabla1[Unidades_Producidas]</f>
        <v>0.9642857142857143</v>
      </c>
      <c r="Q24" s="3">
        <f>IF(Tabla1[Tipo_Defecto_Principal]="Falla de material", 3, IF(Tabla1[Tipo_Defecto_Principal]="Dimensión fuera de especificación", 2, 1))</f>
        <v>1</v>
      </c>
    </row>
    <row r="25" spans="1:17" x14ac:dyDescent="0.3">
      <c r="A25" s="2">
        <v>45201</v>
      </c>
      <c r="B25" t="s">
        <v>19</v>
      </c>
      <c r="C25" t="s">
        <v>15</v>
      </c>
      <c r="D25">
        <v>182</v>
      </c>
      <c r="E25">
        <v>3</v>
      </c>
      <c r="F25" t="s">
        <v>10</v>
      </c>
      <c r="G25">
        <v>0</v>
      </c>
      <c r="H25" t="s">
        <v>26</v>
      </c>
      <c r="I25">
        <f>(480 - Tabla1[Minutos_Paro]) / 60</f>
        <v>8</v>
      </c>
      <c r="J25" t="str">
        <f>IF(Tabla1[Unidades_Defectuosas] &gt; Tabla1[Unidades_Producidas], "ERROR", "OK")</f>
        <v>OK</v>
      </c>
      <c r="K25" s="1">
        <f>Tabla1[Minutos_Paro] / Tabla1[Unidades_Producidas]</f>
        <v>0</v>
      </c>
      <c r="L25">
        <f>Tabla1[Unidades_Producidas] - Tabla1[Unidades_Defectuosas]</f>
        <v>179</v>
      </c>
      <c r="M25" s="3" t="str">
        <f>IF(Tabla1[Minutos_Paro]=0,"Nula",IF(Tabla1[Minutos_Paro]&lt;30,"Baja",IF(Tabla1[Minutos_Paro]&lt;60,"Media","Alta")))</f>
        <v>Nula</v>
      </c>
      <c r="N25" s="3">
        <f>250</f>
        <v>250</v>
      </c>
      <c r="O25" s="4">
        <f>Tabla1[Unidades_Defectuosas] / Tabla1[Unidades_Producidas]</f>
        <v>1.6483516483516484E-2</v>
      </c>
      <c r="P25" s="4">
        <f>Tabla1[Unidades_Buenas] / Tabla1[Unidades_Producidas]</f>
        <v>0.98351648351648346</v>
      </c>
      <c r="Q25" s="3">
        <f>IF(Tabla1[Tipo_Defecto_Principal]="Falla de material", 3, IF(Tabla1[Tipo_Defecto_Principal]="Dimensión fuera de especificación", 2, 1))</f>
        <v>2</v>
      </c>
    </row>
    <row r="26" spans="1:17" x14ac:dyDescent="0.3">
      <c r="A26" s="2">
        <v>45202</v>
      </c>
      <c r="B26" t="s">
        <v>8</v>
      </c>
      <c r="C26" t="s">
        <v>9</v>
      </c>
      <c r="D26">
        <v>231</v>
      </c>
      <c r="E26">
        <v>10</v>
      </c>
      <c r="F26" t="s">
        <v>10</v>
      </c>
      <c r="G26">
        <v>120</v>
      </c>
      <c r="H26" t="s">
        <v>11</v>
      </c>
      <c r="I26">
        <f>(480 - Tabla1[Minutos_Paro]) / 60</f>
        <v>6</v>
      </c>
      <c r="J26" t="str">
        <f>IF(Tabla1[Unidades_Defectuosas] &gt; Tabla1[Unidades_Producidas], "ERROR", "OK")</f>
        <v>OK</v>
      </c>
      <c r="K26" s="1">
        <f>Tabla1[Minutos_Paro] / Tabla1[Unidades_Producidas]</f>
        <v>0.51948051948051943</v>
      </c>
      <c r="L26">
        <f>Tabla1[Unidades_Producidas] - Tabla1[Unidades_Defectuosas]</f>
        <v>221</v>
      </c>
      <c r="M26" s="3" t="str">
        <f>IF(Tabla1[Minutos_Paro]=0,"Nula",IF(Tabla1[Minutos_Paro]&lt;30,"Baja",IF(Tabla1[Minutos_Paro]&lt;60,"Media","Alta")))</f>
        <v>Alta</v>
      </c>
      <c r="N26" s="3">
        <f>250</f>
        <v>250</v>
      </c>
      <c r="O26" s="4">
        <f>Tabla1[Unidades_Defectuosas] / Tabla1[Unidades_Producidas]</f>
        <v>4.3290043290043288E-2</v>
      </c>
      <c r="P26" s="4">
        <f>Tabla1[Unidades_Buenas] / Tabla1[Unidades_Producidas]</f>
        <v>0.95670995670995673</v>
      </c>
      <c r="Q26" s="3">
        <f>IF(Tabla1[Tipo_Defecto_Principal]="Falla de material", 3, IF(Tabla1[Tipo_Defecto_Principal]="Dimensión fuera de especificación", 2, 1))</f>
        <v>2</v>
      </c>
    </row>
    <row r="27" spans="1:17" x14ac:dyDescent="0.3">
      <c r="A27" s="2">
        <v>45202</v>
      </c>
      <c r="B27" t="s">
        <v>8</v>
      </c>
      <c r="C27" t="s">
        <v>12</v>
      </c>
      <c r="D27">
        <v>239</v>
      </c>
      <c r="E27">
        <v>25</v>
      </c>
      <c r="F27" t="s">
        <v>10</v>
      </c>
      <c r="G27">
        <v>0</v>
      </c>
      <c r="H27" t="s">
        <v>26</v>
      </c>
      <c r="I27">
        <f>(480 - Tabla1[Minutos_Paro]) / 60</f>
        <v>8</v>
      </c>
      <c r="J27" t="str">
        <f>IF(Tabla1[Unidades_Defectuosas] &gt; Tabla1[Unidades_Producidas], "ERROR", "OK")</f>
        <v>OK</v>
      </c>
      <c r="K27" s="1">
        <f>Tabla1[Minutos_Paro] / Tabla1[Unidades_Producidas]</f>
        <v>0</v>
      </c>
      <c r="L27">
        <f>Tabla1[Unidades_Producidas] - Tabla1[Unidades_Defectuosas]</f>
        <v>214</v>
      </c>
      <c r="M27" s="3" t="str">
        <f>IF(Tabla1[Minutos_Paro]=0,"Nula",IF(Tabla1[Minutos_Paro]&lt;30,"Baja",IF(Tabla1[Minutos_Paro]&lt;60,"Media","Alta")))</f>
        <v>Nula</v>
      </c>
      <c r="N27" s="3">
        <f>250</f>
        <v>250</v>
      </c>
      <c r="O27" s="4">
        <f>Tabla1[Unidades_Defectuosas] / Tabla1[Unidades_Producidas]</f>
        <v>0.10460251046025104</v>
      </c>
      <c r="P27" s="4">
        <f>Tabla1[Unidades_Buenas] / Tabla1[Unidades_Producidas]</f>
        <v>0.89539748953974896</v>
      </c>
      <c r="Q27" s="3">
        <f>IF(Tabla1[Tipo_Defecto_Principal]="Falla de material", 3, IF(Tabla1[Tipo_Defecto_Principal]="Dimensión fuera de especificación", 2, 1))</f>
        <v>2</v>
      </c>
    </row>
    <row r="28" spans="1:17" x14ac:dyDescent="0.3">
      <c r="A28" s="2">
        <v>45202</v>
      </c>
      <c r="B28" t="s">
        <v>8</v>
      </c>
      <c r="C28" t="s">
        <v>13</v>
      </c>
      <c r="D28">
        <v>198</v>
      </c>
      <c r="E28">
        <v>8</v>
      </c>
      <c r="F28" t="s">
        <v>16</v>
      </c>
      <c r="G28">
        <v>0</v>
      </c>
      <c r="H28" t="s">
        <v>26</v>
      </c>
      <c r="I28">
        <f>(480 - Tabla1[Minutos_Paro]) / 60</f>
        <v>8</v>
      </c>
      <c r="J28" t="str">
        <f>IF(Tabla1[Unidades_Defectuosas] &gt; Tabla1[Unidades_Producidas], "ERROR", "OK")</f>
        <v>OK</v>
      </c>
      <c r="K28" s="1">
        <f>Tabla1[Minutos_Paro] / Tabla1[Unidades_Producidas]</f>
        <v>0</v>
      </c>
      <c r="L28">
        <f>Tabla1[Unidades_Producidas] - Tabla1[Unidades_Defectuosas]</f>
        <v>190</v>
      </c>
      <c r="M28" s="3" t="str">
        <f>IF(Tabla1[Minutos_Paro]=0,"Nula",IF(Tabla1[Minutos_Paro]&lt;30,"Baja",IF(Tabla1[Minutos_Paro]&lt;60,"Media","Alta")))</f>
        <v>Nula</v>
      </c>
      <c r="N28" s="3">
        <f>250</f>
        <v>250</v>
      </c>
      <c r="O28" s="4">
        <f>Tabla1[Unidades_Defectuosas] / Tabla1[Unidades_Producidas]</f>
        <v>4.0404040404040407E-2</v>
      </c>
      <c r="P28" s="4">
        <f>Tabla1[Unidades_Buenas] / Tabla1[Unidades_Producidas]</f>
        <v>0.95959595959595956</v>
      </c>
      <c r="Q28" s="3">
        <f>IF(Tabla1[Tipo_Defecto_Principal]="Falla de material", 3, IF(Tabla1[Tipo_Defecto_Principal]="Dimensión fuera de especificación", 2, 1))</f>
        <v>1</v>
      </c>
    </row>
    <row r="29" spans="1:17" x14ac:dyDescent="0.3">
      <c r="A29" s="2">
        <v>45202</v>
      </c>
      <c r="B29" t="s">
        <v>8</v>
      </c>
      <c r="C29" t="s">
        <v>15</v>
      </c>
      <c r="D29">
        <v>204</v>
      </c>
      <c r="E29">
        <v>1</v>
      </c>
      <c r="F29" t="s">
        <v>16</v>
      </c>
      <c r="G29">
        <v>0</v>
      </c>
      <c r="H29" t="s">
        <v>26</v>
      </c>
      <c r="I29">
        <f>(480 - Tabla1[Minutos_Paro]) / 60</f>
        <v>8</v>
      </c>
      <c r="J29" t="str">
        <f>IF(Tabla1[Unidades_Defectuosas] &gt; Tabla1[Unidades_Producidas], "ERROR", "OK")</f>
        <v>OK</v>
      </c>
      <c r="K29" s="1">
        <f>Tabla1[Minutos_Paro] / Tabla1[Unidades_Producidas]</f>
        <v>0</v>
      </c>
      <c r="L29">
        <f>Tabla1[Unidades_Producidas] - Tabla1[Unidades_Defectuosas]</f>
        <v>203</v>
      </c>
      <c r="M29" s="3" t="str">
        <f>IF(Tabla1[Minutos_Paro]=0,"Nula",IF(Tabla1[Minutos_Paro]&lt;30,"Baja",IF(Tabla1[Minutos_Paro]&lt;60,"Media","Alta")))</f>
        <v>Nula</v>
      </c>
      <c r="N29" s="3">
        <f>250</f>
        <v>250</v>
      </c>
      <c r="O29" s="4">
        <f>Tabla1[Unidades_Defectuosas] / Tabla1[Unidades_Producidas]</f>
        <v>4.9019607843137254E-3</v>
      </c>
      <c r="P29" s="4">
        <f>Tabla1[Unidades_Buenas] / Tabla1[Unidades_Producidas]</f>
        <v>0.99509803921568629</v>
      </c>
      <c r="Q29" s="3">
        <f>IF(Tabla1[Tipo_Defecto_Principal]="Falla de material", 3, IF(Tabla1[Tipo_Defecto_Principal]="Dimensión fuera de especificación", 2, 1))</f>
        <v>1</v>
      </c>
    </row>
    <row r="30" spans="1:17" x14ac:dyDescent="0.3">
      <c r="A30" s="2">
        <v>45202</v>
      </c>
      <c r="B30" t="s">
        <v>17</v>
      </c>
      <c r="C30" t="s">
        <v>9</v>
      </c>
      <c r="D30">
        <v>233</v>
      </c>
      <c r="E30">
        <v>4</v>
      </c>
      <c r="F30" t="s">
        <v>10</v>
      </c>
      <c r="G30">
        <v>0</v>
      </c>
      <c r="H30" t="s">
        <v>26</v>
      </c>
      <c r="I30">
        <f>(480 - Tabla1[Minutos_Paro]) / 60</f>
        <v>8</v>
      </c>
      <c r="J30" t="str">
        <f>IF(Tabla1[Unidades_Defectuosas] &gt; Tabla1[Unidades_Producidas], "ERROR", "OK")</f>
        <v>OK</v>
      </c>
      <c r="K30" s="1">
        <f>Tabla1[Minutos_Paro] / Tabla1[Unidades_Producidas]</f>
        <v>0</v>
      </c>
      <c r="L30">
        <f>Tabla1[Unidades_Producidas] - Tabla1[Unidades_Defectuosas]</f>
        <v>229</v>
      </c>
      <c r="M30" s="3" t="str">
        <f>IF(Tabla1[Minutos_Paro]=0,"Nula",IF(Tabla1[Minutos_Paro]&lt;30,"Baja",IF(Tabla1[Minutos_Paro]&lt;60,"Media","Alta")))</f>
        <v>Nula</v>
      </c>
      <c r="N30" s="3">
        <f>250</f>
        <v>250</v>
      </c>
      <c r="O30" s="4">
        <f>Tabla1[Unidades_Defectuosas] / Tabla1[Unidades_Producidas]</f>
        <v>1.7167381974248927E-2</v>
      </c>
      <c r="P30" s="4">
        <f>Tabla1[Unidades_Buenas] / Tabla1[Unidades_Producidas]</f>
        <v>0.98283261802575106</v>
      </c>
      <c r="Q30" s="3">
        <f>IF(Tabla1[Tipo_Defecto_Principal]="Falla de material", 3, IF(Tabla1[Tipo_Defecto_Principal]="Dimensión fuera de especificación", 2, 1))</f>
        <v>2</v>
      </c>
    </row>
    <row r="31" spans="1:17" x14ac:dyDescent="0.3">
      <c r="A31" s="2">
        <v>45202</v>
      </c>
      <c r="B31" t="s">
        <v>17</v>
      </c>
      <c r="C31" t="s">
        <v>12</v>
      </c>
      <c r="D31">
        <v>187</v>
      </c>
      <c r="E31">
        <v>16</v>
      </c>
      <c r="F31" t="s">
        <v>18</v>
      </c>
      <c r="G31">
        <v>0</v>
      </c>
      <c r="H31" t="s">
        <v>26</v>
      </c>
      <c r="I31">
        <f>(480 - Tabla1[Minutos_Paro]) / 60</f>
        <v>8</v>
      </c>
      <c r="J31" t="str">
        <f>IF(Tabla1[Unidades_Defectuosas] &gt; Tabla1[Unidades_Producidas], "ERROR", "OK")</f>
        <v>OK</v>
      </c>
      <c r="K31" s="1">
        <f>Tabla1[Minutos_Paro] / Tabla1[Unidades_Producidas]</f>
        <v>0</v>
      </c>
      <c r="L31">
        <f>Tabla1[Unidades_Producidas] - Tabla1[Unidades_Defectuosas]</f>
        <v>171</v>
      </c>
      <c r="M31" s="3" t="str">
        <f>IF(Tabla1[Minutos_Paro]=0,"Nula",IF(Tabla1[Minutos_Paro]&lt;30,"Baja",IF(Tabla1[Minutos_Paro]&lt;60,"Media","Alta")))</f>
        <v>Nula</v>
      </c>
      <c r="N31" s="3">
        <f>250</f>
        <v>250</v>
      </c>
      <c r="O31" s="4">
        <f>Tabla1[Unidades_Defectuosas] / Tabla1[Unidades_Producidas]</f>
        <v>8.5561497326203204E-2</v>
      </c>
      <c r="P31" s="4">
        <f>Tabla1[Unidades_Buenas] / Tabla1[Unidades_Producidas]</f>
        <v>0.91443850267379678</v>
      </c>
      <c r="Q31" s="3">
        <f>IF(Tabla1[Tipo_Defecto_Principal]="Falla de material", 3, IF(Tabla1[Tipo_Defecto_Principal]="Dimensión fuera de especificación", 2, 1))</f>
        <v>1</v>
      </c>
    </row>
    <row r="32" spans="1:17" x14ac:dyDescent="0.3">
      <c r="A32" s="2">
        <v>45202</v>
      </c>
      <c r="B32" t="s">
        <v>17</v>
      </c>
      <c r="C32" t="s">
        <v>13</v>
      </c>
      <c r="D32">
        <v>201</v>
      </c>
      <c r="E32">
        <v>9</v>
      </c>
      <c r="F32" t="s">
        <v>20</v>
      </c>
      <c r="G32">
        <v>0</v>
      </c>
      <c r="H32" t="s">
        <v>26</v>
      </c>
      <c r="I32">
        <f>(480 - Tabla1[Minutos_Paro]) / 60</f>
        <v>8</v>
      </c>
      <c r="J32" t="str">
        <f>IF(Tabla1[Unidades_Defectuosas] &gt; Tabla1[Unidades_Producidas], "ERROR", "OK")</f>
        <v>OK</v>
      </c>
      <c r="K32" s="1">
        <f>Tabla1[Minutos_Paro] / Tabla1[Unidades_Producidas]</f>
        <v>0</v>
      </c>
      <c r="L32">
        <f>Tabla1[Unidades_Producidas] - Tabla1[Unidades_Defectuosas]</f>
        <v>192</v>
      </c>
      <c r="M32" s="3" t="str">
        <f>IF(Tabla1[Minutos_Paro]=0,"Nula",IF(Tabla1[Minutos_Paro]&lt;30,"Baja",IF(Tabla1[Minutos_Paro]&lt;60,"Media","Alta")))</f>
        <v>Nula</v>
      </c>
      <c r="N32" s="3">
        <f>250</f>
        <v>250</v>
      </c>
      <c r="O32" s="4">
        <f>Tabla1[Unidades_Defectuosas] / Tabla1[Unidades_Producidas]</f>
        <v>4.4776119402985072E-2</v>
      </c>
      <c r="P32" s="4">
        <f>Tabla1[Unidades_Buenas] / Tabla1[Unidades_Producidas]</f>
        <v>0.95522388059701491</v>
      </c>
      <c r="Q32" s="3">
        <f>IF(Tabla1[Tipo_Defecto_Principal]="Falla de material", 3, IF(Tabla1[Tipo_Defecto_Principal]="Dimensión fuera de especificación", 2, 1))</f>
        <v>1</v>
      </c>
    </row>
    <row r="33" spans="1:17" x14ac:dyDescent="0.3">
      <c r="A33" s="2">
        <v>45202</v>
      </c>
      <c r="B33" t="s">
        <v>17</v>
      </c>
      <c r="C33" t="s">
        <v>15</v>
      </c>
      <c r="D33">
        <v>198</v>
      </c>
      <c r="E33">
        <v>5</v>
      </c>
      <c r="F33" t="s">
        <v>18</v>
      </c>
      <c r="G33">
        <v>15</v>
      </c>
      <c r="H33" t="s">
        <v>11</v>
      </c>
      <c r="I33">
        <f>(480 - Tabla1[Minutos_Paro]) / 60</f>
        <v>7.75</v>
      </c>
      <c r="J33" t="str">
        <f>IF(Tabla1[Unidades_Defectuosas] &gt; Tabla1[Unidades_Producidas], "ERROR", "OK")</f>
        <v>OK</v>
      </c>
      <c r="K33" s="1">
        <f>Tabla1[Minutos_Paro] / Tabla1[Unidades_Producidas]</f>
        <v>7.575757575757576E-2</v>
      </c>
      <c r="L33">
        <f>Tabla1[Unidades_Producidas] - Tabla1[Unidades_Defectuosas]</f>
        <v>193</v>
      </c>
      <c r="M33" s="3" t="str">
        <f>IF(Tabla1[Minutos_Paro]=0,"Nula",IF(Tabla1[Minutos_Paro]&lt;30,"Baja",IF(Tabla1[Minutos_Paro]&lt;60,"Media","Alta")))</f>
        <v>Baja</v>
      </c>
      <c r="N33" s="3">
        <f>250</f>
        <v>250</v>
      </c>
      <c r="O33" s="4">
        <f>Tabla1[Unidades_Defectuosas] / Tabla1[Unidades_Producidas]</f>
        <v>2.5252525252525252E-2</v>
      </c>
      <c r="P33" s="4">
        <f>Tabla1[Unidades_Buenas] / Tabla1[Unidades_Producidas]</f>
        <v>0.9747474747474747</v>
      </c>
      <c r="Q33" s="3">
        <f>IF(Tabla1[Tipo_Defecto_Principal]="Falla de material", 3, IF(Tabla1[Tipo_Defecto_Principal]="Dimensión fuera de especificación", 2, 1))</f>
        <v>1</v>
      </c>
    </row>
    <row r="34" spans="1:17" x14ac:dyDescent="0.3">
      <c r="A34" s="2">
        <v>45202</v>
      </c>
      <c r="B34" t="s">
        <v>19</v>
      </c>
      <c r="C34" t="s">
        <v>9</v>
      </c>
      <c r="D34">
        <v>216</v>
      </c>
      <c r="E34">
        <v>10</v>
      </c>
      <c r="F34" t="s">
        <v>16</v>
      </c>
      <c r="G34">
        <v>30</v>
      </c>
      <c r="H34" t="s">
        <v>23</v>
      </c>
      <c r="I34">
        <f>(480 - Tabla1[Minutos_Paro]) / 60</f>
        <v>7.5</v>
      </c>
      <c r="J34" t="str">
        <f>IF(Tabla1[Unidades_Defectuosas] &gt; Tabla1[Unidades_Producidas], "ERROR", "OK")</f>
        <v>OK</v>
      </c>
      <c r="K34" s="1">
        <f>Tabla1[Minutos_Paro] / Tabla1[Unidades_Producidas]</f>
        <v>0.1388888888888889</v>
      </c>
      <c r="L34">
        <f>Tabla1[Unidades_Producidas] - Tabla1[Unidades_Defectuosas]</f>
        <v>206</v>
      </c>
      <c r="M34" s="3" t="str">
        <f>IF(Tabla1[Minutos_Paro]=0,"Nula",IF(Tabla1[Minutos_Paro]&lt;30,"Baja",IF(Tabla1[Minutos_Paro]&lt;60,"Media","Alta")))</f>
        <v>Media</v>
      </c>
      <c r="N34" s="3">
        <f>250</f>
        <v>250</v>
      </c>
      <c r="O34" s="4">
        <f>Tabla1[Unidades_Defectuosas] / Tabla1[Unidades_Producidas]</f>
        <v>4.6296296296296294E-2</v>
      </c>
      <c r="P34" s="4">
        <f>Tabla1[Unidades_Buenas] / Tabla1[Unidades_Producidas]</f>
        <v>0.95370370370370372</v>
      </c>
      <c r="Q34" s="3">
        <f>IF(Tabla1[Tipo_Defecto_Principal]="Falla de material", 3, IF(Tabla1[Tipo_Defecto_Principal]="Dimensión fuera de especificación", 2, 1))</f>
        <v>1</v>
      </c>
    </row>
    <row r="35" spans="1:17" x14ac:dyDescent="0.3">
      <c r="A35" s="2">
        <v>45202</v>
      </c>
      <c r="B35" t="s">
        <v>19</v>
      </c>
      <c r="C35" t="s">
        <v>12</v>
      </c>
      <c r="D35">
        <v>246</v>
      </c>
      <c r="E35">
        <v>21</v>
      </c>
      <c r="F35" t="s">
        <v>10</v>
      </c>
      <c r="G35">
        <v>0</v>
      </c>
      <c r="H35" t="s">
        <v>26</v>
      </c>
      <c r="I35">
        <f>(480 - Tabla1[Minutos_Paro]) / 60</f>
        <v>8</v>
      </c>
      <c r="J35" t="str">
        <f>IF(Tabla1[Unidades_Defectuosas] &gt; Tabla1[Unidades_Producidas], "ERROR", "OK")</f>
        <v>OK</v>
      </c>
      <c r="K35" s="1">
        <f>Tabla1[Minutos_Paro] / Tabla1[Unidades_Producidas]</f>
        <v>0</v>
      </c>
      <c r="L35">
        <f>Tabla1[Unidades_Producidas] - Tabla1[Unidades_Defectuosas]</f>
        <v>225</v>
      </c>
      <c r="M35" s="3" t="str">
        <f>IF(Tabla1[Minutos_Paro]=0,"Nula",IF(Tabla1[Minutos_Paro]&lt;30,"Baja",IF(Tabla1[Minutos_Paro]&lt;60,"Media","Alta")))</f>
        <v>Nula</v>
      </c>
      <c r="N35" s="3">
        <f>250</f>
        <v>250</v>
      </c>
      <c r="O35" s="4">
        <f>Tabla1[Unidades_Defectuosas] / Tabla1[Unidades_Producidas]</f>
        <v>8.5365853658536592E-2</v>
      </c>
      <c r="P35" s="4">
        <f>Tabla1[Unidades_Buenas] / Tabla1[Unidades_Producidas]</f>
        <v>0.91463414634146345</v>
      </c>
      <c r="Q35" s="3">
        <f>IF(Tabla1[Tipo_Defecto_Principal]="Falla de material", 3, IF(Tabla1[Tipo_Defecto_Principal]="Dimensión fuera de especificación", 2, 1))</f>
        <v>2</v>
      </c>
    </row>
    <row r="36" spans="1:17" x14ac:dyDescent="0.3">
      <c r="A36" s="2">
        <v>45202</v>
      </c>
      <c r="B36" t="s">
        <v>19</v>
      </c>
      <c r="C36" t="s">
        <v>13</v>
      </c>
      <c r="D36">
        <v>202</v>
      </c>
      <c r="E36">
        <v>8</v>
      </c>
      <c r="F36" t="s">
        <v>16</v>
      </c>
      <c r="G36">
        <v>15</v>
      </c>
      <c r="H36" t="s">
        <v>21</v>
      </c>
      <c r="I36">
        <f>(480 - Tabla1[Minutos_Paro]) / 60</f>
        <v>7.75</v>
      </c>
      <c r="J36" t="str">
        <f>IF(Tabla1[Unidades_Defectuosas] &gt; Tabla1[Unidades_Producidas], "ERROR", "OK")</f>
        <v>OK</v>
      </c>
      <c r="K36" s="1">
        <f>Tabla1[Minutos_Paro] / Tabla1[Unidades_Producidas]</f>
        <v>7.4257425742574254E-2</v>
      </c>
      <c r="L36">
        <f>Tabla1[Unidades_Producidas] - Tabla1[Unidades_Defectuosas]</f>
        <v>194</v>
      </c>
      <c r="M36" s="3" t="str">
        <f>IF(Tabla1[Minutos_Paro]=0,"Nula",IF(Tabla1[Minutos_Paro]&lt;30,"Baja",IF(Tabla1[Minutos_Paro]&lt;60,"Media","Alta")))</f>
        <v>Baja</v>
      </c>
      <c r="N36" s="3">
        <f>250</f>
        <v>250</v>
      </c>
      <c r="O36" s="4">
        <f>Tabla1[Unidades_Defectuosas] / Tabla1[Unidades_Producidas]</f>
        <v>3.9603960396039604E-2</v>
      </c>
      <c r="P36" s="4">
        <f>Tabla1[Unidades_Buenas] / Tabla1[Unidades_Producidas]</f>
        <v>0.96039603960396036</v>
      </c>
      <c r="Q36" s="3">
        <f>IF(Tabla1[Tipo_Defecto_Principal]="Falla de material", 3, IF(Tabla1[Tipo_Defecto_Principal]="Dimensión fuera de especificación", 2, 1))</f>
        <v>1</v>
      </c>
    </row>
    <row r="37" spans="1:17" x14ac:dyDescent="0.3">
      <c r="A37" s="2">
        <v>45202</v>
      </c>
      <c r="B37" t="s">
        <v>19</v>
      </c>
      <c r="C37" t="s">
        <v>15</v>
      </c>
      <c r="D37">
        <v>203</v>
      </c>
      <c r="E37">
        <v>10</v>
      </c>
      <c r="F37" t="s">
        <v>16</v>
      </c>
      <c r="G37">
        <v>0</v>
      </c>
      <c r="H37" t="s">
        <v>26</v>
      </c>
      <c r="I37">
        <f>(480 - Tabla1[Minutos_Paro]) / 60</f>
        <v>8</v>
      </c>
      <c r="J37" t="str">
        <f>IF(Tabla1[Unidades_Defectuosas] &gt; Tabla1[Unidades_Producidas], "ERROR", "OK")</f>
        <v>OK</v>
      </c>
      <c r="K37" s="1">
        <f>Tabla1[Minutos_Paro] / Tabla1[Unidades_Producidas]</f>
        <v>0</v>
      </c>
      <c r="L37">
        <f>Tabla1[Unidades_Producidas] - Tabla1[Unidades_Defectuosas]</f>
        <v>193</v>
      </c>
      <c r="M37" s="3" t="str">
        <f>IF(Tabla1[Minutos_Paro]=0,"Nula",IF(Tabla1[Minutos_Paro]&lt;30,"Baja",IF(Tabla1[Minutos_Paro]&lt;60,"Media","Alta")))</f>
        <v>Nula</v>
      </c>
      <c r="N37" s="3">
        <f>250</f>
        <v>250</v>
      </c>
      <c r="O37" s="4">
        <f>Tabla1[Unidades_Defectuosas] / Tabla1[Unidades_Producidas]</f>
        <v>4.9261083743842367E-2</v>
      </c>
      <c r="P37" s="4">
        <f>Tabla1[Unidades_Buenas] / Tabla1[Unidades_Producidas]</f>
        <v>0.95073891625615758</v>
      </c>
      <c r="Q37" s="3">
        <f>IF(Tabla1[Tipo_Defecto_Principal]="Falla de material", 3, IF(Tabla1[Tipo_Defecto_Principal]="Dimensión fuera de especificación", 2, 1))</f>
        <v>1</v>
      </c>
    </row>
    <row r="38" spans="1:17" x14ac:dyDescent="0.3">
      <c r="A38" s="2">
        <v>45203</v>
      </c>
      <c r="B38" t="s">
        <v>8</v>
      </c>
      <c r="C38" t="s">
        <v>9</v>
      </c>
      <c r="D38">
        <v>230</v>
      </c>
      <c r="E38">
        <v>5</v>
      </c>
      <c r="F38" t="s">
        <v>16</v>
      </c>
      <c r="G38">
        <v>15</v>
      </c>
      <c r="H38" t="s">
        <v>24</v>
      </c>
      <c r="I38">
        <f>(480 - Tabla1[Minutos_Paro]) / 60</f>
        <v>7.75</v>
      </c>
      <c r="J38" t="str">
        <f>IF(Tabla1[Unidades_Defectuosas] &gt; Tabla1[Unidades_Producidas], "ERROR", "OK")</f>
        <v>OK</v>
      </c>
      <c r="K38" s="1">
        <f>Tabla1[Minutos_Paro] / Tabla1[Unidades_Producidas]</f>
        <v>6.5217391304347824E-2</v>
      </c>
      <c r="L38">
        <f>Tabla1[Unidades_Producidas] - Tabla1[Unidades_Defectuosas]</f>
        <v>225</v>
      </c>
      <c r="M38" s="3" t="str">
        <f>IF(Tabla1[Minutos_Paro]=0,"Nula",IF(Tabla1[Minutos_Paro]&lt;30,"Baja",IF(Tabla1[Minutos_Paro]&lt;60,"Media","Alta")))</f>
        <v>Baja</v>
      </c>
      <c r="N38" s="3">
        <f>250</f>
        <v>250</v>
      </c>
      <c r="O38" s="4">
        <f>Tabla1[Unidades_Defectuosas] / Tabla1[Unidades_Producidas]</f>
        <v>2.1739130434782608E-2</v>
      </c>
      <c r="P38" s="4">
        <f>Tabla1[Unidades_Buenas] / Tabla1[Unidades_Producidas]</f>
        <v>0.97826086956521741</v>
      </c>
      <c r="Q38" s="3">
        <f>IF(Tabla1[Tipo_Defecto_Principal]="Falla de material", 3, IF(Tabla1[Tipo_Defecto_Principal]="Dimensión fuera de especificación", 2, 1))</f>
        <v>1</v>
      </c>
    </row>
    <row r="39" spans="1:17" x14ac:dyDescent="0.3">
      <c r="A39" s="2">
        <v>45203</v>
      </c>
      <c r="B39" t="s">
        <v>8</v>
      </c>
      <c r="C39" t="s">
        <v>12</v>
      </c>
      <c r="D39">
        <v>239</v>
      </c>
      <c r="E39">
        <v>17</v>
      </c>
      <c r="F39" t="s">
        <v>10</v>
      </c>
      <c r="G39">
        <v>0</v>
      </c>
      <c r="H39" t="s">
        <v>26</v>
      </c>
      <c r="I39">
        <f>(480 - Tabla1[Minutos_Paro]) / 60</f>
        <v>8</v>
      </c>
      <c r="J39" t="str">
        <f>IF(Tabla1[Unidades_Defectuosas] &gt; Tabla1[Unidades_Producidas], "ERROR", "OK")</f>
        <v>OK</v>
      </c>
      <c r="K39" s="1">
        <f>Tabla1[Minutos_Paro] / Tabla1[Unidades_Producidas]</f>
        <v>0</v>
      </c>
      <c r="L39">
        <f>Tabla1[Unidades_Producidas] - Tabla1[Unidades_Defectuosas]</f>
        <v>222</v>
      </c>
      <c r="M39" s="3" t="str">
        <f>IF(Tabla1[Minutos_Paro]=0,"Nula",IF(Tabla1[Minutos_Paro]&lt;30,"Baja",IF(Tabla1[Minutos_Paro]&lt;60,"Media","Alta")))</f>
        <v>Nula</v>
      </c>
      <c r="N39" s="3">
        <f>250</f>
        <v>250</v>
      </c>
      <c r="O39" s="4">
        <f>Tabla1[Unidades_Defectuosas] / Tabla1[Unidades_Producidas]</f>
        <v>7.1129707112970716E-2</v>
      </c>
      <c r="P39" s="4">
        <f>Tabla1[Unidades_Buenas] / Tabla1[Unidades_Producidas]</f>
        <v>0.92887029288702927</v>
      </c>
      <c r="Q39" s="3">
        <f>IF(Tabla1[Tipo_Defecto_Principal]="Falla de material", 3, IF(Tabla1[Tipo_Defecto_Principal]="Dimensión fuera de especificación", 2, 1))</f>
        <v>2</v>
      </c>
    </row>
    <row r="40" spans="1:17" x14ac:dyDescent="0.3">
      <c r="A40" s="2">
        <v>45203</v>
      </c>
      <c r="B40" t="s">
        <v>8</v>
      </c>
      <c r="C40" t="s">
        <v>13</v>
      </c>
      <c r="D40">
        <v>184</v>
      </c>
      <c r="E40">
        <v>5</v>
      </c>
      <c r="F40" t="s">
        <v>14</v>
      </c>
      <c r="G40">
        <v>0</v>
      </c>
      <c r="H40" t="s">
        <v>26</v>
      </c>
      <c r="I40">
        <f>(480 - Tabla1[Minutos_Paro]) / 60</f>
        <v>8</v>
      </c>
      <c r="J40" t="str">
        <f>IF(Tabla1[Unidades_Defectuosas] &gt; Tabla1[Unidades_Producidas], "ERROR", "OK")</f>
        <v>OK</v>
      </c>
      <c r="K40" s="1">
        <f>Tabla1[Minutos_Paro] / Tabla1[Unidades_Producidas]</f>
        <v>0</v>
      </c>
      <c r="L40">
        <f>Tabla1[Unidades_Producidas] - Tabla1[Unidades_Defectuosas]</f>
        <v>179</v>
      </c>
      <c r="M40" s="3" t="str">
        <f>IF(Tabla1[Minutos_Paro]=0,"Nula",IF(Tabla1[Minutos_Paro]&lt;30,"Baja",IF(Tabla1[Minutos_Paro]&lt;60,"Media","Alta")))</f>
        <v>Nula</v>
      </c>
      <c r="N40" s="3">
        <f>250</f>
        <v>250</v>
      </c>
      <c r="O40" s="4">
        <f>Tabla1[Unidades_Defectuosas] / Tabla1[Unidades_Producidas]</f>
        <v>2.717391304347826E-2</v>
      </c>
      <c r="P40" s="4">
        <f>Tabla1[Unidades_Buenas] / Tabla1[Unidades_Producidas]</f>
        <v>0.97282608695652173</v>
      </c>
      <c r="Q40" s="3">
        <f>IF(Tabla1[Tipo_Defecto_Principal]="Falla de material", 3, IF(Tabla1[Tipo_Defecto_Principal]="Dimensión fuera de especificación", 2, 1))</f>
        <v>3</v>
      </c>
    </row>
    <row r="41" spans="1:17" x14ac:dyDescent="0.3">
      <c r="A41" s="2">
        <v>45203</v>
      </c>
      <c r="B41" t="s">
        <v>8</v>
      </c>
      <c r="C41" t="s">
        <v>15</v>
      </c>
      <c r="D41">
        <v>209</v>
      </c>
      <c r="E41">
        <v>4</v>
      </c>
      <c r="F41" t="s">
        <v>16</v>
      </c>
      <c r="G41">
        <v>0</v>
      </c>
      <c r="H41" t="s">
        <v>26</v>
      </c>
      <c r="I41">
        <f>(480 - Tabla1[Minutos_Paro]) / 60</f>
        <v>8</v>
      </c>
      <c r="J41" t="str">
        <f>IF(Tabla1[Unidades_Defectuosas] &gt; Tabla1[Unidades_Producidas], "ERROR", "OK")</f>
        <v>OK</v>
      </c>
      <c r="K41" s="1">
        <f>Tabla1[Minutos_Paro] / Tabla1[Unidades_Producidas]</f>
        <v>0</v>
      </c>
      <c r="L41">
        <f>Tabla1[Unidades_Producidas] - Tabla1[Unidades_Defectuosas]</f>
        <v>205</v>
      </c>
      <c r="M41" s="3" t="str">
        <f>IF(Tabla1[Minutos_Paro]=0,"Nula",IF(Tabla1[Minutos_Paro]&lt;30,"Baja",IF(Tabla1[Minutos_Paro]&lt;60,"Media","Alta")))</f>
        <v>Nula</v>
      </c>
      <c r="N41" s="3">
        <f>250</f>
        <v>250</v>
      </c>
      <c r="O41" s="4">
        <f>Tabla1[Unidades_Defectuosas] / Tabla1[Unidades_Producidas]</f>
        <v>1.9138755980861243E-2</v>
      </c>
      <c r="P41" s="4">
        <f>Tabla1[Unidades_Buenas] / Tabla1[Unidades_Producidas]</f>
        <v>0.98086124401913877</v>
      </c>
      <c r="Q41" s="3">
        <f>IF(Tabla1[Tipo_Defecto_Principal]="Falla de material", 3, IF(Tabla1[Tipo_Defecto_Principal]="Dimensión fuera de especificación", 2, 1))</f>
        <v>1</v>
      </c>
    </row>
    <row r="42" spans="1:17" x14ac:dyDescent="0.3">
      <c r="A42" s="2">
        <v>45203</v>
      </c>
      <c r="B42" t="s">
        <v>17</v>
      </c>
      <c r="C42" t="s">
        <v>9</v>
      </c>
      <c r="D42">
        <v>241</v>
      </c>
      <c r="E42">
        <v>7</v>
      </c>
      <c r="F42" t="s">
        <v>20</v>
      </c>
      <c r="G42">
        <v>0</v>
      </c>
      <c r="H42" t="s">
        <v>26</v>
      </c>
      <c r="I42">
        <f>(480 - Tabla1[Minutos_Paro]) / 60</f>
        <v>8</v>
      </c>
      <c r="J42" t="str">
        <f>IF(Tabla1[Unidades_Defectuosas] &gt; Tabla1[Unidades_Producidas], "ERROR", "OK")</f>
        <v>OK</v>
      </c>
      <c r="K42" s="1">
        <f>Tabla1[Minutos_Paro] / Tabla1[Unidades_Producidas]</f>
        <v>0</v>
      </c>
      <c r="L42">
        <f>Tabla1[Unidades_Producidas] - Tabla1[Unidades_Defectuosas]</f>
        <v>234</v>
      </c>
      <c r="M42" s="3" t="str">
        <f>IF(Tabla1[Minutos_Paro]=0,"Nula",IF(Tabla1[Minutos_Paro]&lt;30,"Baja",IF(Tabla1[Minutos_Paro]&lt;60,"Media","Alta")))</f>
        <v>Nula</v>
      </c>
      <c r="N42" s="3">
        <f>250</f>
        <v>250</v>
      </c>
      <c r="O42" s="4">
        <f>Tabla1[Unidades_Defectuosas] / Tabla1[Unidades_Producidas]</f>
        <v>2.9045643153526972E-2</v>
      </c>
      <c r="P42" s="4">
        <f>Tabla1[Unidades_Buenas] / Tabla1[Unidades_Producidas]</f>
        <v>0.97095435684647302</v>
      </c>
      <c r="Q42" s="3">
        <f>IF(Tabla1[Tipo_Defecto_Principal]="Falla de material", 3, IF(Tabla1[Tipo_Defecto_Principal]="Dimensión fuera de especificación", 2, 1))</f>
        <v>1</v>
      </c>
    </row>
    <row r="43" spans="1:17" x14ac:dyDescent="0.3">
      <c r="A43" s="2">
        <v>45203</v>
      </c>
      <c r="B43" t="s">
        <v>17</v>
      </c>
      <c r="C43" t="s">
        <v>12</v>
      </c>
      <c r="D43">
        <v>180</v>
      </c>
      <c r="E43">
        <v>23</v>
      </c>
      <c r="F43" t="s">
        <v>10</v>
      </c>
      <c r="G43">
        <v>0</v>
      </c>
      <c r="H43" t="s">
        <v>26</v>
      </c>
      <c r="I43">
        <f>(480 - Tabla1[Minutos_Paro]) / 60</f>
        <v>8</v>
      </c>
      <c r="J43" t="str">
        <f>IF(Tabla1[Unidades_Defectuosas] &gt; Tabla1[Unidades_Producidas], "ERROR", "OK")</f>
        <v>OK</v>
      </c>
      <c r="K43" s="1">
        <f>Tabla1[Minutos_Paro] / Tabla1[Unidades_Producidas]</f>
        <v>0</v>
      </c>
      <c r="L43">
        <f>Tabla1[Unidades_Producidas] - Tabla1[Unidades_Defectuosas]</f>
        <v>157</v>
      </c>
      <c r="M43" s="3" t="str">
        <f>IF(Tabla1[Minutos_Paro]=0,"Nula",IF(Tabla1[Minutos_Paro]&lt;30,"Baja",IF(Tabla1[Minutos_Paro]&lt;60,"Media","Alta")))</f>
        <v>Nula</v>
      </c>
      <c r="N43" s="3">
        <f>250</f>
        <v>250</v>
      </c>
      <c r="O43" s="4">
        <f>Tabla1[Unidades_Defectuosas] / Tabla1[Unidades_Producidas]</f>
        <v>0.12777777777777777</v>
      </c>
      <c r="P43" s="4">
        <f>Tabla1[Unidades_Buenas] / Tabla1[Unidades_Producidas]</f>
        <v>0.87222222222222223</v>
      </c>
      <c r="Q43" s="3">
        <f>IF(Tabla1[Tipo_Defecto_Principal]="Falla de material", 3, IF(Tabla1[Tipo_Defecto_Principal]="Dimensión fuera de especificación", 2, 1))</f>
        <v>2</v>
      </c>
    </row>
    <row r="44" spans="1:17" x14ac:dyDescent="0.3">
      <c r="A44" s="2">
        <v>45203</v>
      </c>
      <c r="B44" t="s">
        <v>17</v>
      </c>
      <c r="C44" t="s">
        <v>13</v>
      </c>
      <c r="D44">
        <v>201</v>
      </c>
      <c r="E44">
        <v>4</v>
      </c>
      <c r="F44" t="s">
        <v>18</v>
      </c>
      <c r="G44">
        <v>0</v>
      </c>
      <c r="H44" t="s">
        <v>26</v>
      </c>
      <c r="I44">
        <f>(480 - Tabla1[Minutos_Paro]) / 60</f>
        <v>8</v>
      </c>
      <c r="J44" t="str">
        <f>IF(Tabla1[Unidades_Defectuosas] &gt; Tabla1[Unidades_Producidas], "ERROR", "OK")</f>
        <v>OK</v>
      </c>
      <c r="K44" s="1">
        <f>Tabla1[Minutos_Paro] / Tabla1[Unidades_Producidas]</f>
        <v>0</v>
      </c>
      <c r="L44">
        <f>Tabla1[Unidades_Producidas] - Tabla1[Unidades_Defectuosas]</f>
        <v>197</v>
      </c>
      <c r="M44" s="3" t="str">
        <f>IF(Tabla1[Minutos_Paro]=0,"Nula",IF(Tabla1[Minutos_Paro]&lt;30,"Baja",IF(Tabla1[Minutos_Paro]&lt;60,"Media","Alta")))</f>
        <v>Nula</v>
      </c>
      <c r="N44" s="3">
        <f>250</f>
        <v>250</v>
      </c>
      <c r="O44" s="4">
        <f>Tabla1[Unidades_Defectuosas] / Tabla1[Unidades_Producidas]</f>
        <v>1.9900497512437811E-2</v>
      </c>
      <c r="P44" s="4">
        <f>Tabla1[Unidades_Buenas] / Tabla1[Unidades_Producidas]</f>
        <v>0.98009950248756217</v>
      </c>
      <c r="Q44" s="3">
        <f>IF(Tabla1[Tipo_Defecto_Principal]="Falla de material", 3, IF(Tabla1[Tipo_Defecto_Principal]="Dimensión fuera de especificación", 2, 1))</f>
        <v>1</v>
      </c>
    </row>
    <row r="45" spans="1:17" x14ac:dyDescent="0.3">
      <c r="A45" s="2">
        <v>45203</v>
      </c>
      <c r="B45" t="s">
        <v>17</v>
      </c>
      <c r="C45" t="s">
        <v>15</v>
      </c>
      <c r="D45">
        <v>248</v>
      </c>
      <c r="E45">
        <v>4</v>
      </c>
      <c r="F45" t="s">
        <v>10</v>
      </c>
      <c r="G45">
        <v>0</v>
      </c>
      <c r="H45" t="s">
        <v>26</v>
      </c>
      <c r="I45">
        <f>(480 - Tabla1[Minutos_Paro]) / 60</f>
        <v>8</v>
      </c>
      <c r="J45" t="str">
        <f>IF(Tabla1[Unidades_Defectuosas] &gt; Tabla1[Unidades_Producidas], "ERROR", "OK")</f>
        <v>OK</v>
      </c>
      <c r="K45" s="1">
        <f>Tabla1[Minutos_Paro] / Tabla1[Unidades_Producidas]</f>
        <v>0</v>
      </c>
      <c r="L45">
        <f>Tabla1[Unidades_Producidas] - Tabla1[Unidades_Defectuosas]</f>
        <v>244</v>
      </c>
      <c r="M45" s="3" t="str">
        <f>IF(Tabla1[Minutos_Paro]=0,"Nula",IF(Tabla1[Minutos_Paro]&lt;30,"Baja",IF(Tabla1[Minutos_Paro]&lt;60,"Media","Alta")))</f>
        <v>Nula</v>
      </c>
      <c r="N45" s="3">
        <f>250</f>
        <v>250</v>
      </c>
      <c r="O45" s="4">
        <f>Tabla1[Unidades_Defectuosas] / Tabla1[Unidades_Producidas]</f>
        <v>1.6129032258064516E-2</v>
      </c>
      <c r="P45" s="4">
        <f>Tabla1[Unidades_Buenas] / Tabla1[Unidades_Producidas]</f>
        <v>0.9838709677419355</v>
      </c>
      <c r="Q45" s="3">
        <f>IF(Tabla1[Tipo_Defecto_Principal]="Falla de material", 3, IF(Tabla1[Tipo_Defecto_Principal]="Dimensión fuera de especificación", 2, 1))</f>
        <v>2</v>
      </c>
    </row>
    <row r="46" spans="1:17" x14ac:dyDescent="0.3">
      <c r="A46" s="2">
        <v>45203</v>
      </c>
      <c r="B46" t="s">
        <v>19</v>
      </c>
      <c r="C46" t="s">
        <v>9</v>
      </c>
      <c r="D46">
        <v>218</v>
      </c>
      <c r="E46">
        <v>6</v>
      </c>
      <c r="F46" t="s">
        <v>10</v>
      </c>
      <c r="G46">
        <v>0</v>
      </c>
      <c r="H46" t="s">
        <v>26</v>
      </c>
      <c r="I46">
        <f>(480 - Tabla1[Minutos_Paro]) / 60</f>
        <v>8</v>
      </c>
      <c r="J46" t="str">
        <f>IF(Tabla1[Unidades_Defectuosas] &gt; Tabla1[Unidades_Producidas], "ERROR", "OK")</f>
        <v>OK</v>
      </c>
      <c r="K46" s="1">
        <f>Tabla1[Minutos_Paro] / Tabla1[Unidades_Producidas]</f>
        <v>0</v>
      </c>
      <c r="L46">
        <f>Tabla1[Unidades_Producidas] - Tabla1[Unidades_Defectuosas]</f>
        <v>212</v>
      </c>
      <c r="M46" s="3" t="str">
        <f>IF(Tabla1[Minutos_Paro]=0,"Nula",IF(Tabla1[Minutos_Paro]&lt;30,"Baja",IF(Tabla1[Minutos_Paro]&lt;60,"Media","Alta")))</f>
        <v>Nula</v>
      </c>
      <c r="N46" s="3">
        <f>250</f>
        <v>250</v>
      </c>
      <c r="O46" s="4">
        <f>Tabla1[Unidades_Defectuosas] / Tabla1[Unidades_Producidas]</f>
        <v>2.7522935779816515E-2</v>
      </c>
      <c r="P46" s="4">
        <f>Tabla1[Unidades_Buenas] / Tabla1[Unidades_Producidas]</f>
        <v>0.97247706422018354</v>
      </c>
      <c r="Q46" s="3">
        <f>IF(Tabla1[Tipo_Defecto_Principal]="Falla de material", 3, IF(Tabla1[Tipo_Defecto_Principal]="Dimensión fuera de especificación", 2, 1))</f>
        <v>2</v>
      </c>
    </row>
    <row r="47" spans="1:17" x14ac:dyDescent="0.3">
      <c r="A47" s="2">
        <v>45203</v>
      </c>
      <c r="B47" t="s">
        <v>19</v>
      </c>
      <c r="C47" t="s">
        <v>12</v>
      </c>
      <c r="D47">
        <v>198</v>
      </c>
      <c r="E47">
        <v>16</v>
      </c>
      <c r="F47" t="s">
        <v>10</v>
      </c>
      <c r="G47">
        <v>0</v>
      </c>
      <c r="H47" t="s">
        <v>26</v>
      </c>
      <c r="I47">
        <f>(480 - Tabla1[Minutos_Paro]) / 60</f>
        <v>8</v>
      </c>
      <c r="J47" t="str">
        <f>IF(Tabla1[Unidades_Defectuosas] &gt; Tabla1[Unidades_Producidas], "ERROR", "OK")</f>
        <v>OK</v>
      </c>
      <c r="K47" s="1">
        <f>Tabla1[Minutos_Paro] / Tabla1[Unidades_Producidas]</f>
        <v>0</v>
      </c>
      <c r="L47">
        <f>Tabla1[Unidades_Producidas] - Tabla1[Unidades_Defectuosas]</f>
        <v>182</v>
      </c>
      <c r="M47" s="3" t="str">
        <f>IF(Tabla1[Minutos_Paro]=0,"Nula",IF(Tabla1[Minutos_Paro]&lt;30,"Baja",IF(Tabla1[Minutos_Paro]&lt;60,"Media","Alta")))</f>
        <v>Nula</v>
      </c>
      <c r="N47" s="3">
        <f>250</f>
        <v>250</v>
      </c>
      <c r="O47" s="4">
        <f>Tabla1[Unidades_Defectuosas] / Tabla1[Unidades_Producidas]</f>
        <v>8.0808080808080815E-2</v>
      </c>
      <c r="P47" s="4">
        <f>Tabla1[Unidades_Buenas] / Tabla1[Unidades_Producidas]</f>
        <v>0.91919191919191923</v>
      </c>
      <c r="Q47" s="3">
        <f>IF(Tabla1[Tipo_Defecto_Principal]="Falla de material", 3, IF(Tabla1[Tipo_Defecto_Principal]="Dimensión fuera de especificación", 2, 1))</f>
        <v>2</v>
      </c>
    </row>
    <row r="48" spans="1:17" x14ac:dyDescent="0.3">
      <c r="A48" s="2">
        <v>45203</v>
      </c>
      <c r="B48" t="s">
        <v>19</v>
      </c>
      <c r="C48" t="s">
        <v>13</v>
      </c>
      <c r="D48">
        <v>183</v>
      </c>
      <c r="E48">
        <v>13</v>
      </c>
      <c r="F48" t="s">
        <v>10</v>
      </c>
      <c r="G48">
        <v>0</v>
      </c>
      <c r="H48" t="s">
        <v>26</v>
      </c>
      <c r="I48">
        <f>(480 - Tabla1[Minutos_Paro]) / 60</f>
        <v>8</v>
      </c>
      <c r="J48" t="str">
        <f>IF(Tabla1[Unidades_Defectuosas] &gt; Tabla1[Unidades_Producidas], "ERROR", "OK")</f>
        <v>OK</v>
      </c>
      <c r="K48" s="1">
        <f>Tabla1[Minutos_Paro] / Tabla1[Unidades_Producidas]</f>
        <v>0</v>
      </c>
      <c r="L48">
        <f>Tabla1[Unidades_Producidas] - Tabla1[Unidades_Defectuosas]</f>
        <v>170</v>
      </c>
      <c r="M48" s="3" t="str">
        <f>IF(Tabla1[Minutos_Paro]=0,"Nula",IF(Tabla1[Minutos_Paro]&lt;30,"Baja",IF(Tabla1[Minutos_Paro]&lt;60,"Media","Alta")))</f>
        <v>Nula</v>
      </c>
      <c r="N48" s="3">
        <f>250</f>
        <v>250</v>
      </c>
      <c r="O48" s="4">
        <f>Tabla1[Unidades_Defectuosas] / Tabla1[Unidades_Producidas]</f>
        <v>7.1038251366120214E-2</v>
      </c>
      <c r="P48" s="4">
        <f>Tabla1[Unidades_Buenas] / Tabla1[Unidades_Producidas]</f>
        <v>0.92896174863387981</v>
      </c>
      <c r="Q48" s="3">
        <f>IF(Tabla1[Tipo_Defecto_Principal]="Falla de material", 3, IF(Tabla1[Tipo_Defecto_Principal]="Dimensión fuera de especificación", 2, 1))</f>
        <v>2</v>
      </c>
    </row>
    <row r="49" spans="1:17" x14ac:dyDescent="0.3">
      <c r="A49" s="2">
        <v>45203</v>
      </c>
      <c r="B49" t="s">
        <v>19</v>
      </c>
      <c r="C49" t="s">
        <v>15</v>
      </c>
      <c r="D49">
        <v>208</v>
      </c>
      <c r="E49">
        <v>2</v>
      </c>
      <c r="F49" t="s">
        <v>16</v>
      </c>
      <c r="G49">
        <v>0</v>
      </c>
      <c r="H49" t="s">
        <v>26</v>
      </c>
      <c r="I49">
        <f>(480 - Tabla1[Minutos_Paro]) / 60</f>
        <v>8</v>
      </c>
      <c r="J49" t="str">
        <f>IF(Tabla1[Unidades_Defectuosas] &gt; Tabla1[Unidades_Producidas], "ERROR", "OK")</f>
        <v>OK</v>
      </c>
      <c r="K49" s="1">
        <f>Tabla1[Minutos_Paro] / Tabla1[Unidades_Producidas]</f>
        <v>0</v>
      </c>
      <c r="L49">
        <f>Tabla1[Unidades_Producidas] - Tabla1[Unidades_Defectuosas]</f>
        <v>206</v>
      </c>
      <c r="M49" s="3" t="str">
        <f>IF(Tabla1[Minutos_Paro]=0,"Nula",IF(Tabla1[Minutos_Paro]&lt;30,"Baja",IF(Tabla1[Minutos_Paro]&lt;60,"Media","Alta")))</f>
        <v>Nula</v>
      </c>
      <c r="N49" s="3">
        <f>250</f>
        <v>250</v>
      </c>
      <c r="O49" s="4">
        <f>Tabla1[Unidades_Defectuosas] / Tabla1[Unidades_Producidas]</f>
        <v>9.6153846153846159E-3</v>
      </c>
      <c r="P49" s="4">
        <f>Tabla1[Unidades_Buenas] / Tabla1[Unidades_Producidas]</f>
        <v>0.99038461538461542</v>
      </c>
      <c r="Q49" s="3">
        <f>IF(Tabla1[Tipo_Defecto_Principal]="Falla de material", 3, IF(Tabla1[Tipo_Defecto_Principal]="Dimensión fuera de especificación", 2, 1))</f>
        <v>1</v>
      </c>
    </row>
    <row r="50" spans="1:17" x14ac:dyDescent="0.3">
      <c r="A50" s="2">
        <v>45204</v>
      </c>
      <c r="B50" t="s">
        <v>8</v>
      </c>
      <c r="C50" t="s">
        <v>9</v>
      </c>
      <c r="D50">
        <v>214</v>
      </c>
      <c r="E50">
        <v>8</v>
      </c>
      <c r="F50" t="s">
        <v>10</v>
      </c>
      <c r="G50">
        <v>30</v>
      </c>
      <c r="H50" t="s">
        <v>11</v>
      </c>
      <c r="I50">
        <f>(480 - Tabla1[Minutos_Paro]) / 60</f>
        <v>7.5</v>
      </c>
      <c r="J50" t="str">
        <f>IF(Tabla1[Unidades_Defectuosas] &gt; Tabla1[Unidades_Producidas], "ERROR", "OK")</f>
        <v>OK</v>
      </c>
      <c r="K50" s="1">
        <f>Tabla1[Minutos_Paro] / Tabla1[Unidades_Producidas]</f>
        <v>0.14018691588785046</v>
      </c>
      <c r="L50">
        <f>Tabla1[Unidades_Producidas] - Tabla1[Unidades_Defectuosas]</f>
        <v>206</v>
      </c>
      <c r="M50" s="3" t="str">
        <f>IF(Tabla1[Minutos_Paro]=0,"Nula",IF(Tabla1[Minutos_Paro]&lt;30,"Baja",IF(Tabla1[Minutos_Paro]&lt;60,"Media","Alta")))</f>
        <v>Media</v>
      </c>
      <c r="N50" s="3">
        <f>250</f>
        <v>250</v>
      </c>
      <c r="O50" s="4">
        <f>Tabla1[Unidades_Defectuosas] / Tabla1[Unidades_Producidas]</f>
        <v>3.7383177570093455E-2</v>
      </c>
      <c r="P50" s="4">
        <f>Tabla1[Unidades_Buenas] / Tabla1[Unidades_Producidas]</f>
        <v>0.96261682242990654</v>
      </c>
      <c r="Q50" s="3">
        <f>IF(Tabla1[Tipo_Defecto_Principal]="Falla de material", 3, IF(Tabla1[Tipo_Defecto_Principal]="Dimensión fuera de especificación", 2, 1))</f>
        <v>2</v>
      </c>
    </row>
    <row r="51" spans="1:17" x14ac:dyDescent="0.3">
      <c r="A51" s="2">
        <v>45204</v>
      </c>
      <c r="B51" t="s">
        <v>8</v>
      </c>
      <c r="C51" t="s">
        <v>12</v>
      </c>
      <c r="D51">
        <v>200</v>
      </c>
      <c r="E51">
        <v>27</v>
      </c>
      <c r="F51" t="s">
        <v>10</v>
      </c>
      <c r="G51">
        <v>0</v>
      </c>
      <c r="H51" t="s">
        <v>26</v>
      </c>
      <c r="I51">
        <f>(480 - Tabla1[Minutos_Paro]) / 60</f>
        <v>8</v>
      </c>
      <c r="J51" t="str">
        <f>IF(Tabla1[Unidades_Defectuosas] &gt; Tabla1[Unidades_Producidas], "ERROR", "OK")</f>
        <v>OK</v>
      </c>
      <c r="K51" s="1">
        <f>Tabla1[Minutos_Paro] / Tabla1[Unidades_Producidas]</f>
        <v>0</v>
      </c>
      <c r="L51">
        <f>Tabla1[Unidades_Producidas] - Tabla1[Unidades_Defectuosas]</f>
        <v>173</v>
      </c>
      <c r="M51" s="3" t="str">
        <f>IF(Tabla1[Minutos_Paro]=0,"Nula",IF(Tabla1[Minutos_Paro]&lt;30,"Baja",IF(Tabla1[Minutos_Paro]&lt;60,"Media","Alta")))</f>
        <v>Nula</v>
      </c>
      <c r="N51" s="3">
        <f>250</f>
        <v>250</v>
      </c>
      <c r="O51" s="4">
        <f>Tabla1[Unidades_Defectuosas] / Tabla1[Unidades_Producidas]</f>
        <v>0.13500000000000001</v>
      </c>
      <c r="P51" s="4">
        <f>Tabla1[Unidades_Buenas] / Tabla1[Unidades_Producidas]</f>
        <v>0.86499999999999999</v>
      </c>
      <c r="Q51" s="3">
        <f>IF(Tabla1[Tipo_Defecto_Principal]="Falla de material", 3, IF(Tabla1[Tipo_Defecto_Principal]="Dimensión fuera de especificación", 2, 1))</f>
        <v>2</v>
      </c>
    </row>
    <row r="52" spans="1:17" x14ac:dyDescent="0.3">
      <c r="A52" s="2">
        <v>45204</v>
      </c>
      <c r="B52" t="s">
        <v>8</v>
      </c>
      <c r="C52" t="s">
        <v>13</v>
      </c>
      <c r="D52">
        <v>203</v>
      </c>
      <c r="E52">
        <v>11</v>
      </c>
      <c r="F52" t="s">
        <v>18</v>
      </c>
      <c r="G52">
        <v>30</v>
      </c>
      <c r="H52" t="s">
        <v>11</v>
      </c>
      <c r="I52">
        <f>(480 - Tabla1[Minutos_Paro]) / 60</f>
        <v>7.5</v>
      </c>
      <c r="J52" t="str">
        <f>IF(Tabla1[Unidades_Defectuosas] &gt; Tabla1[Unidades_Producidas], "ERROR", "OK")</f>
        <v>OK</v>
      </c>
      <c r="K52" s="1">
        <f>Tabla1[Minutos_Paro] / Tabla1[Unidades_Producidas]</f>
        <v>0.14778325123152711</v>
      </c>
      <c r="L52">
        <f>Tabla1[Unidades_Producidas] - Tabla1[Unidades_Defectuosas]</f>
        <v>192</v>
      </c>
      <c r="M52" s="3" t="str">
        <f>IF(Tabla1[Minutos_Paro]=0,"Nula",IF(Tabla1[Minutos_Paro]&lt;30,"Baja",IF(Tabla1[Minutos_Paro]&lt;60,"Media","Alta")))</f>
        <v>Media</v>
      </c>
      <c r="N52" s="3">
        <f>250</f>
        <v>250</v>
      </c>
      <c r="O52" s="4">
        <f>Tabla1[Unidades_Defectuosas] / Tabla1[Unidades_Producidas]</f>
        <v>5.4187192118226604E-2</v>
      </c>
      <c r="P52" s="4">
        <f>Tabla1[Unidades_Buenas] / Tabla1[Unidades_Producidas]</f>
        <v>0.94581280788177335</v>
      </c>
      <c r="Q52" s="3">
        <f>IF(Tabla1[Tipo_Defecto_Principal]="Falla de material", 3, IF(Tabla1[Tipo_Defecto_Principal]="Dimensión fuera de especificación", 2, 1))</f>
        <v>1</v>
      </c>
    </row>
    <row r="53" spans="1:17" x14ac:dyDescent="0.3">
      <c r="A53" s="2">
        <v>45204</v>
      </c>
      <c r="B53" t="s">
        <v>8</v>
      </c>
      <c r="C53" t="s">
        <v>15</v>
      </c>
      <c r="D53">
        <v>192</v>
      </c>
      <c r="E53">
        <v>4</v>
      </c>
      <c r="F53" t="s">
        <v>18</v>
      </c>
      <c r="G53">
        <v>0</v>
      </c>
      <c r="H53" t="s">
        <v>26</v>
      </c>
      <c r="I53">
        <f>(480 - Tabla1[Minutos_Paro]) / 60</f>
        <v>8</v>
      </c>
      <c r="J53" t="str">
        <f>IF(Tabla1[Unidades_Defectuosas] &gt; Tabla1[Unidades_Producidas], "ERROR", "OK")</f>
        <v>OK</v>
      </c>
      <c r="K53" s="1">
        <f>Tabla1[Minutos_Paro] / Tabla1[Unidades_Producidas]</f>
        <v>0</v>
      </c>
      <c r="L53">
        <f>Tabla1[Unidades_Producidas] - Tabla1[Unidades_Defectuosas]</f>
        <v>188</v>
      </c>
      <c r="M53" s="3" t="str">
        <f>IF(Tabla1[Minutos_Paro]=0,"Nula",IF(Tabla1[Minutos_Paro]&lt;30,"Baja",IF(Tabla1[Minutos_Paro]&lt;60,"Media","Alta")))</f>
        <v>Nula</v>
      </c>
      <c r="N53" s="3">
        <f>250</f>
        <v>250</v>
      </c>
      <c r="O53" s="4">
        <f>Tabla1[Unidades_Defectuosas] / Tabla1[Unidades_Producidas]</f>
        <v>2.0833333333333332E-2</v>
      </c>
      <c r="P53" s="4">
        <f>Tabla1[Unidades_Buenas] / Tabla1[Unidades_Producidas]</f>
        <v>0.97916666666666663</v>
      </c>
      <c r="Q53" s="3">
        <f>IF(Tabla1[Tipo_Defecto_Principal]="Falla de material", 3, IF(Tabla1[Tipo_Defecto_Principal]="Dimensión fuera de especificación", 2, 1))</f>
        <v>1</v>
      </c>
    </row>
    <row r="54" spans="1:17" x14ac:dyDescent="0.3">
      <c r="A54" s="2">
        <v>45204</v>
      </c>
      <c r="B54" t="s">
        <v>17</v>
      </c>
      <c r="C54" t="s">
        <v>9</v>
      </c>
      <c r="D54">
        <v>231</v>
      </c>
      <c r="E54">
        <v>9</v>
      </c>
      <c r="F54" t="s">
        <v>20</v>
      </c>
      <c r="G54">
        <v>0</v>
      </c>
      <c r="H54" t="s">
        <v>26</v>
      </c>
      <c r="I54">
        <f>(480 - Tabla1[Minutos_Paro]) / 60</f>
        <v>8</v>
      </c>
      <c r="J54" t="str">
        <f>IF(Tabla1[Unidades_Defectuosas] &gt; Tabla1[Unidades_Producidas], "ERROR", "OK")</f>
        <v>OK</v>
      </c>
      <c r="K54" s="1">
        <f>Tabla1[Minutos_Paro] / Tabla1[Unidades_Producidas]</f>
        <v>0</v>
      </c>
      <c r="L54">
        <f>Tabla1[Unidades_Producidas] - Tabla1[Unidades_Defectuosas]</f>
        <v>222</v>
      </c>
      <c r="M54" s="3" t="str">
        <f>IF(Tabla1[Minutos_Paro]=0,"Nula",IF(Tabla1[Minutos_Paro]&lt;30,"Baja",IF(Tabla1[Minutos_Paro]&lt;60,"Media","Alta")))</f>
        <v>Nula</v>
      </c>
      <c r="N54" s="3">
        <f>250</f>
        <v>250</v>
      </c>
      <c r="O54" s="4">
        <f>Tabla1[Unidades_Defectuosas] / Tabla1[Unidades_Producidas]</f>
        <v>3.896103896103896E-2</v>
      </c>
      <c r="P54" s="4">
        <f>Tabla1[Unidades_Buenas] / Tabla1[Unidades_Producidas]</f>
        <v>0.96103896103896103</v>
      </c>
      <c r="Q54" s="3">
        <f>IF(Tabla1[Tipo_Defecto_Principal]="Falla de material", 3, IF(Tabla1[Tipo_Defecto_Principal]="Dimensión fuera de especificación", 2, 1))</f>
        <v>1</v>
      </c>
    </row>
    <row r="55" spans="1:17" x14ac:dyDescent="0.3">
      <c r="A55" s="2">
        <v>45204</v>
      </c>
      <c r="B55" t="s">
        <v>17</v>
      </c>
      <c r="C55" t="s">
        <v>12</v>
      </c>
      <c r="D55">
        <v>218</v>
      </c>
      <c r="E55">
        <v>21</v>
      </c>
      <c r="F55" t="s">
        <v>10</v>
      </c>
      <c r="G55">
        <v>0</v>
      </c>
      <c r="H55" t="s">
        <v>26</v>
      </c>
      <c r="I55">
        <f>(480 - Tabla1[Minutos_Paro]) / 60</f>
        <v>8</v>
      </c>
      <c r="J55" t="str">
        <f>IF(Tabla1[Unidades_Defectuosas] &gt; Tabla1[Unidades_Producidas], "ERROR", "OK")</f>
        <v>OK</v>
      </c>
      <c r="K55" s="1">
        <f>Tabla1[Minutos_Paro] / Tabla1[Unidades_Producidas]</f>
        <v>0</v>
      </c>
      <c r="L55">
        <f>Tabla1[Unidades_Producidas] - Tabla1[Unidades_Defectuosas]</f>
        <v>197</v>
      </c>
      <c r="M55" s="3" t="str">
        <f>IF(Tabla1[Minutos_Paro]=0,"Nula",IF(Tabla1[Minutos_Paro]&lt;30,"Baja",IF(Tabla1[Minutos_Paro]&lt;60,"Media","Alta")))</f>
        <v>Nula</v>
      </c>
      <c r="N55" s="3">
        <f>250</f>
        <v>250</v>
      </c>
      <c r="O55" s="4">
        <f>Tabla1[Unidades_Defectuosas] / Tabla1[Unidades_Producidas]</f>
        <v>9.6330275229357804E-2</v>
      </c>
      <c r="P55" s="4">
        <f>Tabla1[Unidades_Buenas] / Tabla1[Unidades_Producidas]</f>
        <v>0.90366972477064222</v>
      </c>
      <c r="Q55" s="3">
        <f>IF(Tabla1[Tipo_Defecto_Principal]="Falla de material", 3, IF(Tabla1[Tipo_Defecto_Principal]="Dimensión fuera de especificación", 2, 1))</f>
        <v>2</v>
      </c>
    </row>
    <row r="56" spans="1:17" x14ac:dyDescent="0.3">
      <c r="A56" s="2">
        <v>45204</v>
      </c>
      <c r="B56" t="s">
        <v>17</v>
      </c>
      <c r="C56" t="s">
        <v>13</v>
      </c>
      <c r="D56">
        <v>188</v>
      </c>
      <c r="E56">
        <v>4</v>
      </c>
      <c r="F56" t="s">
        <v>16</v>
      </c>
      <c r="G56">
        <v>0</v>
      </c>
      <c r="H56" t="s">
        <v>26</v>
      </c>
      <c r="I56">
        <f>(480 - Tabla1[Minutos_Paro]) / 60</f>
        <v>8</v>
      </c>
      <c r="J56" t="str">
        <f>IF(Tabla1[Unidades_Defectuosas] &gt; Tabla1[Unidades_Producidas], "ERROR", "OK")</f>
        <v>OK</v>
      </c>
      <c r="K56" s="1">
        <f>Tabla1[Minutos_Paro] / Tabla1[Unidades_Producidas]</f>
        <v>0</v>
      </c>
      <c r="L56">
        <f>Tabla1[Unidades_Producidas] - Tabla1[Unidades_Defectuosas]</f>
        <v>184</v>
      </c>
      <c r="M56" s="3" t="str">
        <f>IF(Tabla1[Minutos_Paro]=0,"Nula",IF(Tabla1[Minutos_Paro]&lt;30,"Baja",IF(Tabla1[Minutos_Paro]&lt;60,"Media","Alta")))</f>
        <v>Nula</v>
      </c>
      <c r="N56" s="3">
        <f>250</f>
        <v>250</v>
      </c>
      <c r="O56" s="4">
        <f>Tabla1[Unidades_Defectuosas] / Tabla1[Unidades_Producidas]</f>
        <v>2.1276595744680851E-2</v>
      </c>
      <c r="P56" s="4">
        <f>Tabla1[Unidades_Buenas] / Tabla1[Unidades_Producidas]</f>
        <v>0.97872340425531912</v>
      </c>
      <c r="Q56" s="3">
        <f>IF(Tabla1[Tipo_Defecto_Principal]="Falla de material", 3, IF(Tabla1[Tipo_Defecto_Principal]="Dimensión fuera de especificación", 2, 1))</f>
        <v>1</v>
      </c>
    </row>
    <row r="57" spans="1:17" x14ac:dyDescent="0.3">
      <c r="A57" s="2">
        <v>45204</v>
      </c>
      <c r="B57" t="s">
        <v>17</v>
      </c>
      <c r="C57" t="s">
        <v>15</v>
      </c>
      <c r="D57">
        <v>229</v>
      </c>
      <c r="E57">
        <v>9</v>
      </c>
      <c r="F57" t="s">
        <v>10</v>
      </c>
      <c r="G57">
        <v>0</v>
      </c>
      <c r="H57" t="s">
        <v>26</v>
      </c>
      <c r="I57">
        <f>(480 - Tabla1[Minutos_Paro]) / 60</f>
        <v>8</v>
      </c>
      <c r="J57" t="str">
        <f>IF(Tabla1[Unidades_Defectuosas] &gt; Tabla1[Unidades_Producidas], "ERROR", "OK")</f>
        <v>OK</v>
      </c>
      <c r="K57" s="1">
        <f>Tabla1[Minutos_Paro] / Tabla1[Unidades_Producidas]</f>
        <v>0</v>
      </c>
      <c r="L57">
        <f>Tabla1[Unidades_Producidas] - Tabla1[Unidades_Defectuosas]</f>
        <v>220</v>
      </c>
      <c r="M57" s="3" t="str">
        <f>IF(Tabla1[Minutos_Paro]=0,"Nula",IF(Tabla1[Minutos_Paro]&lt;30,"Baja",IF(Tabla1[Minutos_Paro]&lt;60,"Media","Alta")))</f>
        <v>Nula</v>
      </c>
      <c r="N57" s="3">
        <f>250</f>
        <v>250</v>
      </c>
      <c r="O57" s="4">
        <f>Tabla1[Unidades_Defectuosas] / Tabla1[Unidades_Producidas]</f>
        <v>3.9301310043668124E-2</v>
      </c>
      <c r="P57" s="4">
        <f>Tabla1[Unidades_Buenas] / Tabla1[Unidades_Producidas]</f>
        <v>0.9606986899563319</v>
      </c>
      <c r="Q57" s="3">
        <f>IF(Tabla1[Tipo_Defecto_Principal]="Falla de material", 3, IF(Tabla1[Tipo_Defecto_Principal]="Dimensión fuera de especificación", 2, 1))</f>
        <v>2</v>
      </c>
    </row>
    <row r="58" spans="1:17" x14ac:dyDescent="0.3">
      <c r="A58" s="2">
        <v>45204</v>
      </c>
      <c r="B58" t="s">
        <v>19</v>
      </c>
      <c r="C58" t="s">
        <v>9</v>
      </c>
      <c r="D58">
        <v>210</v>
      </c>
      <c r="E58">
        <v>6</v>
      </c>
      <c r="F58" t="s">
        <v>16</v>
      </c>
      <c r="G58">
        <v>0</v>
      </c>
      <c r="H58" t="s">
        <v>26</v>
      </c>
      <c r="I58">
        <f>(480 - Tabla1[Minutos_Paro]) / 60</f>
        <v>8</v>
      </c>
      <c r="J58" t="str">
        <f>IF(Tabla1[Unidades_Defectuosas] &gt; Tabla1[Unidades_Producidas], "ERROR", "OK")</f>
        <v>OK</v>
      </c>
      <c r="K58" s="1">
        <f>Tabla1[Minutos_Paro] / Tabla1[Unidades_Producidas]</f>
        <v>0</v>
      </c>
      <c r="L58">
        <f>Tabla1[Unidades_Producidas] - Tabla1[Unidades_Defectuosas]</f>
        <v>204</v>
      </c>
      <c r="M58" s="3" t="str">
        <f>IF(Tabla1[Minutos_Paro]=0,"Nula",IF(Tabla1[Minutos_Paro]&lt;30,"Baja",IF(Tabla1[Minutos_Paro]&lt;60,"Media","Alta")))</f>
        <v>Nula</v>
      </c>
      <c r="N58" s="3">
        <f>250</f>
        <v>250</v>
      </c>
      <c r="O58" s="4">
        <f>Tabla1[Unidades_Defectuosas] / Tabla1[Unidades_Producidas]</f>
        <v>2.8571428571428571E-2</v>
      </c>
      <c r="P58" s="4">
        <f>Tabla1[Unidades_Buenas] / Tabla1[Unidades_Producidas]</f>
        <v>0.97142857142857142</v>
      </c>
      <c r="Q58" s="3">
        <f>IF(Tabla1[Tipo_Defecto_Principal]="Falla de material", 3, IF(Tabla1[Tipo_Defecto_Principal]="Dimensión fuera de especificación", 2, 1))</f>
        <v>1</v>
      </c>
    </row>
    <row r="59" spans="1:17" x14ac:dyDescent="0.3">
      <c r="A59" s="2">
        <v>45204</v>
      </c>
      <c r="B59" t="s">
        <v>19</v>
      </c>
      <c r="C59" t="s">
        <v>12</v>
      </c>
      <c r="D59">
        <v>237</v>
      </c>
      <c r="E59">
        <v>22</v>
      </c>
      <c r="F59" t="s">
        <v>20</v>
      </c>
      <c r="G59">
        <v>15</v>
      </c>
      <c r="H59" t="s">
        <v>21</v>
      </c>
      <c r="I59">
        <f>(480 - Tabla1[Minutos_Paro]) / 60</f>
        <v>7.75</v>
      </c>
      <c r="J59" t="str">
        <f>IF(Tabla1[Unidades_Defectuosas] &gt; Tabla1[Unidades_Producidas], "ERROR", "OK")</f>
        <v>OK</v>
      </c>
      <c r="K59" s="1">
        <f>Tabla1[Minutos_Paro] / Tabla1[Unidades_Producidas]</f>
        <v>6.3291139240506333E-2</v>
      </c>
      <c r="L59">
        <f>Tabla1[Unidades_Producidas] - Tabla1[Unidades_Defectuosas]</f>
        <v>215</v>
      </c>
      <c r="M59" s="3" t="str">
        <f>IF(Tabla1[Minutos_Paro]=0,"Nula",IF(Tabla1[Minutos_Paro]&lt;30,"Baja",IF(Tabla1[Minutos_Paro]&lt;60,"Media","Alta")))</f>
        <v>Baja</v>
      </c>
      <c r="N59" s="3">
        <f>250</f>
        <v>250</v>
      </c>
      <c r="O59" s="4">
        <f>Tabla1[Unidades_Defectuosas] / Tabla1[Unidades_Producidas]</f>
        <v>9.2827004219409287E-2</v>
      </c>
      <c r="P59" s="4">
        <f>Tabla1[Unidades_Buenas] / Tabla1[Unidades_Producidas]</f>
        <v>0.90717299578059074</v>
      </c>
      <c r="Q59" s="3">
        <f>IF(Tabla1[Tipo_Defecto_Principal]="Falla de material", 3, IF(Tabla1[Tipo_Defecto_Principal]="Dimensión fuera de especificación", 2, 1))</f>
        <v>1</v>
      </c>
    </row>
    <row r="60" spans="1:17" x14ac:dyDescent="0.3">
      <c r="A60" s="2">
        <v>45204</v>
      </c>
      <c r="B60" t="s">
        <v>19</v>
      </c>
      <c r="C60" t="s">
        <v>13</v>
      </c>
      <c r="D60">
        <v>182</v>
      </c>
      <c r="E60">
        <v>7</v>
      </c>
      <c r="F60" t="s">
        <v>10</v>
      </c>
      <c r="G60">
        <v>60</v>
      </c>
      <c r="H60" t="s">
        <v>25</v>
      </c>
      <c r="I60">
        <f>(480 - Tabla1[Minutos_Paro]) / 60</f>
        <v>7</v>
      </c>
      <c r="J60" t="str">
        <f>IF(Tabla1[Unidades_Defectuosas] &gt; Tabla1[Unidades_Producidas], "ERROR", "OK")</f>
        <v>OK</v>
      </c>
      <c r="K60" s="1">
        <f>Tabla1[Minutos_Paro] / Tabla1[Unidades_Producidas]</f>
        <v>0.32967032967032966</v>
      </c>
      <c r="L60">
        <f>Tabla1[Unidades_Producidas] - Tabla1[Unidades_Defectuosas]</f>
        <v>175</v>
      </c>
      <c r="M60" s="3" t="str">
        <f>IF(Tabla1[Minutos_Paro]=0,"Nula",IF(Tabla1[Minutos_Paro]&lt;30,"Baja",IF(Tabla1[Minutos_Paro]&lt;60,"Media","Alta")))</f>
        <v>Alta</v>
      </c>
      <c r="N60" s="3">
        <f>250</f>
        <v>250</v>
      </c>
      <c r="O60" s="4">
        <f>Tabla1[Unidades_Defectuosas] / Tabla1[Unidades_Producidas]</f>
        <v>3.8461538461538464E-2</v>
      </c>
      <c r="P60" s="4">
        <f>Tabla1[Unidades_Buenas] / Tabla1[Unidades_Producidas]</f>
        <v>0.96153846153846156</v>
      </c>
      <c r="Q60" s="3">
        <f>IF(Tabla1[Tipo_Defecto_Principal]="Falla de material", 3, IF(Tabla1[Tipo_Defecto_Principal]="Dimensión fuera de especificación", 2, 1))</f>
        <v>2</v>
      </c>
    </row>
    <row r="61" spans="1:17" x14ac:dyDescent="0.3">
      <c r="A61" s="2">
        <v>45204</v>
      </c>
      <c r="B61" t="s">
        <v>19</v>
      </c>
      <c r="C61" t="s">
        <v>15</v>
      </c>
      <c r="D61">
        <v>226</v>
      </c>
      <c r="E61">
        <v>11</v>
      </c>
      <c r="F61" t="s">
        <v>10</v>
      </c>
      <c r="G61">
        <v>30</v>
      </c>
      <c r="H61" t="s">
        <v>21</v>
      </c>
      <c r="I61">
        <f>(480 - Tabla1[Minutos_Paro]) / 60</f>
        <v>7.5</v>
      </c>
      <c r="J61" t="str">
        <f>IF(Tabla1[Unidades_Defectuosas] &gt; Tabla1[Unidades_Producidas], "ERROR", "OK")</f>
        <v>OK</v>
      </c>
      <c r="K61" s="1">
        <f>Tabla1[Minutos_Paro] / Tabla1[Unidades_Producidas]</f>
        <v>0.13274336283185842</v>
      </c>
      <c r="L61">
        <f>Tabla1[Unidades_Producidas] - Tabla1[Unidades_Defectuosas]</f>
        <v>215</v>
      </c>
      <c r="M61" s="3" t="str">
        <f>IF(Tabla1[Minutos_Paro]=0,"Nula",IF(Tabla1[Minutos_Paro]&lt;30,"Baja",IF(Tabla1[Minutos_Paro]&lt;60,"Media","Alta")))</f>
        <v>Media</v>
      </c>
      <c r="N61" s="3">
        <f>250</f>
        <v>250</v>
      </c>
      <c r="O61" s="4">
        <f>Tabla1[Unidades_Defectuosas] / Tabla1[Unidades_Producidas]</f>
        <v>4.8672566371681415E-2</v>
      </c>
      <c r="P61" s="4">
        <f>Tabla1[Unidades_Buenas] / Tabla1[Unidades_Producidas]</f>
        <v>0.95132743362831862</v>
      </c>
      <c r="Q61" s="3">
        <f>IF(Tabla1[Tipo_Defecto_Principal]="Falla de material", 3, IF(Tabla1[Tipo_Defecto_Principal]="Dimensión fuera de especificación", 2, 1))</f>
        <v>2</v>
      </c>
    </row>
    <row r="62" spans="1:17" x14ac:dyDescent="0.3">
      <c r="A62" s="2">
        <v>45205</v>
      </c>
      <c r="B62" t="s">
        <v>8</v>
      </c>
      <c r="C62" t="s">
        <v>9</v>
      </c>
      <c r="D62">
        <v>191</v>
      </c>
      <c r="E62">
        <v>3</v>
      </c>
      <c r="F62" t="s">
        <v>16</v>
      </c>
      <c r="G62">
        <v>0</v>
      </c>
      <c r="H62" t="s">
        <v>26</v>
      </c>
      <c r="I62">
        <f>(480 - Tabla1[Minutos_Paro]) / 60</f>
        <v>8</v>
      </c>
      <c r="J62" t="str">
        <f>IF(Tabla1[Unidades_Defectuosas] &gt; Tabla1[Unidades_Producidas], "ERROR", "OK")</f>
        <v>OK</v>
      </c>
      <c r="K62" s="1">
        <f>Tabla1[Minutos_Paro] / Tabla1[Unidades_Producidas]</f>
        <v>0</v>
      </c>
      <c r="L62">
        <f>Tabla1[Unidades_Producidas] - Tabla1[Unidades_Defectuosas]</f>
        <v>188</v>
      </c>
      <c r="M62" s="3" t="str">
        <f>IF(Tabla1[Minutos_Paro]=0,"Nula",IF(Tabla1[Minutos_Paro]&lt;30,"Baja",IF(Tabla1[Minutos_Paro]&lt;60,"Media","Alta")))</f>
        <v>Nula</v>
      </c>
      <c r="N62" s="3">
        <f>250</f>
        <v>250</v>
      </c>
      <c r="O62" s="4">
        <f>Tabla1[Unidades_Defectuosas] / Tabla1[Unidades_Producidas]</f>
        <v>1.5706806282722512E-2</v>
      </c>
      <c r="P62" s="4">
        <f>Tabla1[Unidades_Buenas] / Tabla1[Unidades_Producidas]</f>
        <v>0.98429319371727753</v>
      </c>
      <c r="Q62" s="3">
        <f>IF(Tabla1[Tipo_Defecto_Principal]="Falla de material", 3, IF(Tabla1[Tipo_Defecto_Principal]="Dimensión fuera de especificación", 2, 1))</f>
        <v>1</v>
      </c>
    </row>
    <row r="63" spans="1:17" x14ac:dyDescent="0.3">
      <c r="A63" s="2">
        <v>45205</v>
      </c>
      <c r="B63" t="s">
        <v>8</v>
      </c>
      <c r="C63" t="s">
        <v>12</v>
      </c>
      <c r="D63">
        <v>215</v>
      </c>
      <c r="E63">
        <v>17</v>
      </c>
      <c r="F63" t="s">
        <v>20</v>
      </c>
      <c r="G63">
        <v>0</v>
      </c>
      <c r="H63" t="s">
        <v>26</v>
      </c>
      <c r="I63">
        <f>(480 - Tabla1[Minutos_Paro]) / 60</f>
        <v>8</v>
      </c>
      <c r="J63" t="str">
        <f>IF(Tabla1[Unidades_Defectuosas] &gt; Tabla1[Unidades_Producidas], "ERROR", "OK")</f>
        <v>OK</v>
      </c>
      <c r="K63" s="1">
        <f>Tabla1[Minutos_Paro] / Tabla1[Unidades_Producidas]</f>
        <v>0</v>
      </c>
      <c r="L63">
        <f>Tabla1[Unidades_Producidas] - Tabla1[Unidades_Defectuosas]</f>
        <v>198</v>
      </c>
      <c r="M63" s="3" t="str">
        <f>IF(Tabla1[Minutos_Paro]=0,"Nula",IF(Tabla1[Minutos_Paro]&lt;30,"Baja",IF(Tabla1[Minutos_Paro]&lt;60,"Media","Alta")))</f>
        <v>Nula</v>
      </c>
      <c r="N63" s="3">
        <f>250</f>
        <v>250</v>
      </c>
      <c r="O63" s="4">
        <f>Tabla1[Unidades_Defectuosas] / Tabla1[Unidades_Producidas]</f>
        <v>7.9069767441860464E-2</v>
      </c>
      <c r="P63" s="4">
        <f>Tabla1[Unidades_Buenas] / Tabla1[Unidades_Producidas]</f>
        <v>0.92093023255813955</v>
      </c>
      <c r="Q63" s="3">
        <f>IF(Tabla1[Tipo_Defecto_Principal]="Falla de material", 3, IF(Tabla1[Tipo_Defecto_Principal]="Dimensión fuera de especificación", 2, 1))</f>
        <v>1</v>
      </c>
    </row>
    <row r="64" spans="1:17" x14ac:dyDescent="0.3">
      <c r="A64" s="2">
        <v>45205</v>
      </c>
      <c r="B64" t="s">
        <v>8</v>
      </c>
      <c r="C64" t="s">
        <v>13</v>
      </c>
      <c r="D64">
        <v>220</v>
      </c>
      <c r="E64">
        <v>3</v>
      </c>
      <c r="F64" t="s">
        <v>16</v>
      </c>
      <c r="G64">
        <v>0</v>
      </c>
      <c r="H64" t="s">
        <v>26</v>
      </c>
      <c r="I64">
        <f>(480 - Tabla1[Minutos_Paro]) / 60</f>
        <v>8</v>
      </c>
      <c r="J64" t="str">
        <f>IF(Tabla1[Unidades_Defectuosas] &gt; Tabla1[Unidades_Producidas], "ERROR", "OK")</f>
        <v>OK</v>
      </c>
      <c r="K64" s="1">
        <f>Tabla1[Minutos_Paro] / Tabla1[Unidades_Producidas]</f>
        <v>0</v>
      </c>
      <c r="L64">
        <f>Tabla1[Unidades_Producidas] - Tabla1[Unidades_Defectuosas]</f>
        <v>217</v>
      </c>
      <c r="M64" s="3" t="str">
        <f>IF(Tabla1[Minutos_Paro]=0,"Nula",IF(Tabla1[Minutos_Paro]&lt;30,"Baja",IF(Tabla1[Minutos_Paro]&lt;60,"Media","Alta")))</f>
        <v>Nula</v>
      </c>
      <c r="N64" s="3">
        <f>250</f>
        <v>250</v>
      </c>
      <c r="O64" s="4">
        <f>Tabla1[Unidades_Defectuosas] / Tabla1[Unidades_Producidas]</f>
        <v>1.3636363636363636E-2</v>
      </c>
      <c r="P64" s="4">
        <f>Tabla1[Unidades_Buenas] / Tabla1[Unidades_Producidas]</f>
        <v>0.98636363636363633</v>
      </c>
      <c r="Q64" s="3">
        <f>IF(Tabla1[Tipo_Defecto_Principal]="Falla de material", 3, IF(Tabla1[Tipo_Defecto_Principal]="Dimensión fuera de especificación", 2, 1))</f>
        <v>1</v>
      </c>
    </row>
    <row r="65" spans="1:17" x14ac:dyDescent="0.3">
      <c r="A65" s="2">
        <v>45205</v>
      </c>
      <c r="B65" t="s">
        <v>8</v>
      </c>
      <c r="C65" t="s">
        <v>15</v>
      </c>
      <c r="D65">
        <v>208</v>
      </c>
      <c r="E65">
        <v>6</v>
      </c>
      <c r="F65" t="s">
        <v>18</v>
      </c>
      <c r="G65">
        <v>15</v>
      </c>
      <c r="H65" t="s">
        <v>24</v>
      </c>
      <c r="I65">
        <f>(480 - Tabla1[Minutos_Paro]) / 60</f>
        <v>7.75</v>
      </c>
      <c r="J65" t="str">
        <f>IF(Tabla1[Unidades_Defectuosas] &gt; Tabla1[Unidades_Producidas], "ERROR", "OK")</f>
        <v>OK</v>
      </c>
      <c r="K65" s="1">
        <f>Tabla1[Minutos_Paro] / Tabla1[Unidades_Producidas]</f>
        <v>7.2115384615384609E-2</v>
      </c>
      <c r="L65">
        <f>Tabla1[Unidades_Producidas] - Tabla1[Unidades_Defectuosas]</f>
        <v>202</v>
      </c>
      <c r="M65" s="3" t="str">
        <f>IF(Tabla1[Minutos_Paro]=0,"Nula",IF(Tabla1[Minutos_Paro]&lt;30,"Baja",IF(Tabla1[Minutos_Paro]&lt;60,"Media","Alta")))</f>
        <v>Baja</v>
      </c>
      <c r="N65" s="3">
        <f>250</f>
        <v>250</v>
      </c>
      <c r="O65" s="4">
        <f>Tabla1[Unidades_Defectuosas] / Tabla1[Unidades_Producidas]</f>
        <v>2.8846153846153848E-2</v>
      </c>
      <c r="P65" s="4">
        <f>Tabla1[Unidades_Buenas] / Tabla1[Unidades_Producidas]</f>
        <v>0.97115384615384615</v>
      </c>
      <c r="Q65" s="3">
        <f>IF(Tabla1[Tipo_Defecto_Principal]="Falla de material", 3, IF(Tabla1[Tipo_Defecto_Principal]="Dimensión fuera de especificación", 2, 1))</f>
        <v>1</v>
      </c>
    </row>
    <row r="66" spans="1:17" x14ac:dyDescent="0.3">
      <c r="A66" s="2">
        <v>45205</v>
      </c>
      <c r="B66" t="s">
        <v>17</v>
      </c>
      <c r="C66" t="s">
        <v>9</v>
      </c>
      <c r="D66">
        <v>184</v>
      </c>
      <c r="E66">
        <v>4</v>
      </c>
      <c r="F66" t="s">
        <v>14</v>
      </c>
      <c r="G66">
        <v>0</v>
      </c>
      <c r="H66" t="s">
        <v>26</v>
      </c>
      <c r="I66">
        <f>(480 - Tabla1[Minutos_Paro]) / 60</f>
        <v>8</v>
      </c>
      <c r="J66" t="str">
        <f>IF(Tabla1[Unidades_Defectuosas] &gt; Tabla1[Unidades_Producidas], "ERROR", "OK")</f>
        <v>OK</v>
      </c>
      <c r="K66" s="1">
        <f>Tabla1[Minutos_Paro] / Tabla1[Unidades_Producidas]</f>
        <v>0</v>
      </c>
      <c r="L66">
        <f>Tabla1[Unidades_Producidas] - Tabla1[Unidades_Defectuosas]</f>
        <v>180</v>
      </c>
      <c r="M66" s="3" t="str">
        <f>IF(Tabla1[Minutos_Paro]=0,"Nula",IF(Tabla1[Minutos_Paro]&lt;30,"Baja",IF(Tabla1[Minutos_Paro]&lt;60,"Media","Alta")))</f>
        <v>Nula</v>
      </c>
      <c r="N66" s="3">
        <f>250</f>
        <v>250</v>
      </c>
      <c r="O66" s="4">
        <f>Tabla1[Unidades_Defectuosas] / Tabla1[Unidades_Producidas]</f>
        <v>2.1739130434782608E-2</v>
      </c>
      <c r="P66" s="4">
        <f>Tabla1[Unidades_Buenas] / Tabla1[Unidades_Producidas]</f>
        <v>0.97826086956521741</v>
      </c>
      <c r="Q66" s="3">
        <f>IF(Tabla1[Tipo_Defecto_Principal]="Falla de material", 3, IF(Tabla1[Tipo_Defecto_Principal]="Dimensión fuera de especificación", 2, 1))</f>
        <v>3</v>
      </c>
    </row>
    <row r="67" spans="1:17" x14ac:dyDescent="0.3">
      <c r="A67" s="2">
        <v>45205</v>
      </c>
      <c r="B67" t="s">
        <v>17</v>
      </c>
      <c r="C67" t="s">
        <v>12</v>
      </c>
      <c r="D67">
        <v>242</v>
      </c>
      <c r="E67">
        <v>18</v>
      </c>
      <c r="F67" t="s">
        <v>10</v>
      </c>
      <c r="G67">
        <v>0</v>
      </c>
      <c r="H67" t="s">
        <v>26</v>
      </c>
      <c r="I67">
        <f>(480 - Tabla1[Minutos_Paro]) / 60</f>
        <v>8</v>
      </c>
      <c r="J67" t="str">
        <f>IF(Tabla1[Unidades_Defectuosas] &gt; Tabla1[Unidades_Producidas], "ERROR", "OK")</f>
        <v>OK</v>
      </c>
      <c r="K67" s="1">
        <f>Tabla1[Minutos_Paro] / Tabla1[Unidades_Producidas]</f>
        <v>0</v>
      </c>
      <c r="L67">
        <f>Tabla1[Unidades_Producidas] - Tabla1[Unidades_Defectuosas]</f>
        <v>224</v>
      </c>
      <c r="M67" s="3" t="str">
        <f>IF(Tabla1[Minutos_Paro]=0,"Nula",IF(Tabla1[Minutos_Paro]&lt;30,"Baja",IF(Tabla1[Minutos_Paro]&lt;60,"Media","Alta")))</f>
        <v>Nula</v>
      </c>
      <c r="N67" s="3">
        <f>250</f>
        <v>250</v>
      </c>
      <c r="O67" s="4">
        <f>Tabla1[Unidades_Defectuosas] / Tabla1[Unidades_Producidas]</f>
        <v>7.43801652892562E-2</v>
      </c>
      <c r="P67" s="4">
        <f>Tabla1[Unidades_Buenas] / Tabla1[Unidades_Producidas]</f>
        <v>0.92561983471074383</v>
      </c>
      <c r="Q67" s="3">
        <f>IF(Tabla1[Tipo_Defecto_Principal]="Falla de material", 3, IF(Tabla1[Tipo_Defecto_Principal]="Dimensión fuera de especificación", 2, 1))</f>
        <v>2</v>
      </c>
    </row>
    <row r="68" spans="1:17" x14ac:dyDescent="0.3">
      <c r="A68" s="2">
        <v>45205</v>
      </c>
      <c r="B68" t="s">
        <v>17</v>
      </c>
      <c r="C68" t="s">
        <v>13</v>
      </c>
      <c r="D68">
        <v>212</v>
      </c>
      <c r="E68">
        <v>8</v>
      </c>
      <c r="F68" t="s">
        <v>18</v>
      </c>
      <c r="G68">
        <v>0</v>
      </c>
      <c r="H68" t="s">
        <v>26</v>
      </c>
      <c r="I68">
        <f>(480 - Tabla1[Minutos_Paro]) / 60</f>
        <v>8</v>
      </c>
      <c r="J68" t="str">
        <f>IF(Tabla1[Unidades_Defectuosas] &gt; Tabla1[Unidades_Producidas], "ERROR", "OK")</f>
        <v>OK</v>
      </c>
      <c r="K68" s="1">
        <f>Tabla1[Minutos_Paro] / Tabla1[Unidades_Producidas]</f>
        <v>0</v>
      </c>
      <c r="L68">
        <f>Tabla1[Unidades_Producidas] - Tabla1[Unidades_Defectuosas]</f>
        <v>204</v>
      </c>
      <c r="M68" s="3" t="str">
        <f>IF(Tabla1[Minutos_Paro]=0,"Nula",IF(Tabla1[Minutos_Paro]&lt;30,"Baja",IF(Tabla1[Minutos_Paro]&lt;60,"Media","Alta")))</f>
        <v>Nula</v>
      </c>
      <c r="N68" s="3">
        <f>250</f>
        <v>250</v>
      </c>
      <c r="O68" s="4">
        <f>Tabla1[Unidades_Defectuosas] / Tabla1[Unidades_Producidas]</f>
        <v>3.7735849056603772E-2</v>
      </c>
      <c r="P68" s="4">
        <f>Tabla1[Unidades_Buenas] / Tabla1[Unidades_Producidas]</f>
        <v>0.96226415094339623</v>
      </c>
      <c r="Q68" s="3">
        <f>IF(Tabla1[Tipo_Defecto_Principal]="Falla de material", 3, IF(Tabla1[Tipo_Defecto_Principal]="Dimensión fuera de especificación", 2, 1))</f>
        <v>1</v>
      </c>
    </row>
    <row r="69" spans="1:17" x14ac:dyDescent="0.3">
      <c r="A69" s="2">
        <v>45205</v>
      </c>
      <c r="B69" t="s">
        <v>17</v>
      </c>
      <c r="C69" t="s">
        <v>15</v>
      </c>
      <c r="D69">
        <v>216</v>
      </c>
      <c r="E69">
        <v>5</v>
      </c>
      <c r="F69" t="s">
        <v>20</v>
      </c>
      <c r="G69">
        <v>0</v>
      </c>
      <c r="H69" t="s">
        <v>26</v>
      </c>
      <c r="I69">
        <f>(480 - Tabla1[Minutos_Paro]) / 60</f>
        <v>8</v>
      </c>
      <c r="J69" t="str">
        <f>IF(Tabla1[Unidades_Defectuosas] &gt; Tabla1[Unidades_Producidas], "ERROR", "OK")</f>
        <v>OK</v>
      </c>
      <c r="K69" s="1">
        <f>Tabla1[Minutos_Paro] / Tabla1[Unidades_Producidas]</f>
        <v>0</v>
      </c>
      <c r="L69">
        <f>Tabla1[Unidades_Producidas] - Tabla1[Unidades_Defectuosas]</f>
        <v>211</v>
      </c>
      <c r="M69" s="3" t="str">
        <f>IF(Tabla1[Minutos_Paro]=0,"Nula",IF(Tabla1[Minutos_Paro]&lt;30,"Baja",IF(Tabla1[Minutos_Paro]&lt;60,"Media","Alta")))</f>
        <v>Nula</v>
      </c>
      <c r="N69" s="3">
        <f>250</f>
        <v>250</v>
      </c>
      <c r="O69" s="4">
        <f>Tabla1[Unidades_Defectuosas] / Tabla1[Unidades_Producidas]</f>
        <v>2.3148148148148147E-2</v>
      </c>
      <c r="P69" s="4">
        <f>Tabla1[Unidades_Buenas] / Tabla1[Unidades_Producidas]</f>
        <v>0.97685185185185186</v>
      </c>
      <c r="Q69" s="3">
        <f>IF(Tabla1[Tipo_Defecto_Principal]="Falla de material", 3, IF(Tabla1[Tipo_Defecto_Principal]="Dimensión fuera de especificación", 2, 1))</f>
        <v>1</v>
      </c>
    </row>
    <row r="70" spans="1:17" x14ac:dyDescent="0.3">
      <c r="A70" s="2">
        <v>45205</v>
      </c>
      <c r="B70" t="s">
        <v>19</v>
      </c>
      <c r="C70" t="s">
        <v>9</v>
      </c>
      <c r="D70">
        <v>244</v>
      </c>
      <c r="E70">
        <v>10</v>
      </c>
      <c r="F70" t="s">
        <v>16</v>
      </c>
      <c r="G70">
        <v>15</v>
      </c>
      <c r="H70" t="s">
        <v>21</v>
      </c>
      <c r="I70">
        <f>(480 - Tabla1[Minutos_Paro]) / 60</f>
        <v>7.75</v>
      </c>
      <c r="J70" t="str">
        <f>IF(Tabla1[Unidades_Defectuosas] &gt; Tabla1[Unidades_Producidas], "ERROR", "OK")</f>
        <v>OK</v>
      </c>
      <c r="K70" s="1">
        <f>Tabla1[Minutos_Paro] / Tabla1[Unidades_Producidas]</f>
        <v>6.1475409836065573E-2</v>
      </c>
      <c r="L70">
        <f>Tabla1[Unidades_Producidas] - Tabla1[Unidades_Defectuosas]</f>
        <v>234</v>
      </c>
      <c r="M70" s="3" t="str">
        <f>IF(Tabla1[Minutos_Paro]=0,"Nula",IF(Tabla1[Minutos_Paro]&lt;30,"Baja",IF(Tabla1[Minutos_Paro]&lt;60,"Media","Alta")))</f>
        <v>Baja</v>
      </c>
      <c r="N70" s="3">
        <f>250</f>
        <v>250</v>
      </c>
      <c r="O70" s="4">
        <f>Tabla1[Unidades_Defectuosas] / Tabla1[Unidades_Producidas]</f>
        <v>4.0983606557377046E-2</v>
      </c>
      <c r="P70" s="4">
        <f>Tabla1[Unidades_Buenas] / Tabla1[Unidades_Producidas]</f>
        <v>0.95901639344262291</v>
      </c>
      <c r="Q70" s="3">
        <f>IF(Tabla1[Tipo_Defecto_Principal]="Falla de material", 3, IF(Tabla1[Tipo_Defecto_Principal]="Dimensión fuera de especificación", 2, 1))</f>
        <v>1</v>
      </c>
    </row>
    <row r="71" spans="1:17" x14ac:dyDescent="0.3">
      <c r="A71" s="2">
        <v>45205</v>
      </c>
      <c r="B71" t="s">
        <v>19</v>
      </c>
      <c r="C71" t="s">
        <v>12</v>
      </c>
      <c r="D71">
        <v>196</v>
      </c>
      <c r="E71">
        <v>10</v>
      </c>
      <c r="F71" t="s">
        <v>10</v>
      </c>
      <c r="G71">
        <v>0</v>
      </c>
      <c r="H71" t="s">
        <v>26</v>
      </c>
      <c r="I71">
        <f>(480 - Tabla1[Minutos_Paro]) / 60</f>
        <v>8</v>
      </c>
      <c r="J71" t="str">
        <f>IF(Tabla1[Unidades_Defectuosas] &gt; Tabla1[Unidades_Producidas], "ERROR", "OK")</f>
        <v>OK</v>
      </c>
      <c r="K71" s="1">
        <f>Tabla1[Minutos_Paro] / Tabla1[Unidades_Producidas]</f>
        <v>0</v>
      </c>
      <c r="L71">
        <f>Tabla1[Unidades_Producidas] - Tabla1[Unidades_Defectuosas]</f>
        <v>186</v>
      </c>
      <c r="M71" s="3" t="str">
        <f>IF(Tabla1[Minutos_Paro]=0,"Nula",IF(Tabla1[Minutos_Paro]&lt;30,"Baja",IF(Tabla1[Minutos_Paro]&lt;60,"Media","Alta")))</f>
        <v>Nula</v>
      </c>
      <c r="N71" s="3">
        <f>250</f>
        <v>250</v>
      </c>
      <c r="O71" s="4">
        <f>Tabla1[Unidades_Defectuosas] / Tabla1[Unidades_Producidas]</f>
        <v>5.1020408163265307E-2</v>
      </c>
      <c r="P71" s="4">
        <f>Tabla1[Unidades_Buenas] / Tabla1[Unidades_Producidas]</f>
        <v>0.94897959183673475</v>
      </c>
      <c r="Q71" s="3">
        <f>IF(Tabla1[Tipo_Defecto_Principal]="Falla de material", 3, IF(Tabla1[Tipo_Defecto_Principal]="Dimensión fuera de especificación", 2, 1))</f>
        <v>2</v>
      </c>
    </row>
    <row r="72" spans="1:17" x14ac:dyDescent="0.3">
      <c r="A72" s="2">
        <v>45205</v>
      </c>
      <c r="B72" t="s">
        <v>19</v>
      </c>
      <c r="C72" t="s">
        <v>13</v>
      </c>
      <c r="D72">
        <v>193</v>
      </c>
      <c r="E72">
        <v>3</v>
      </c>
      <c r="F72" t="s">
        <v>16</v>
      </c>
      <c r="G72">
        <v>0</v>
      </c>
      <c r="H72" t="s">
        <v>26</v>
      </c>
      <c r="I72">
        <f>(480 - Tabla1[Minutos_Paro]) / 60</f>
        <v>8</v>
      </c>
      <c r="J72" t="str">
        <f>IF(Tabla1[Unidades_Defectuosas] &gt; Tabla1[Unidades_Producidas], "ERROR", "OK")</f>
        <v>OK</v>
      </c>
      <c r="K72" s="1">
        <f>Tabla1[Minutos_Paro] / Tabla1[Unidades_Producidas]</f>
        <v>0</v>
      </c>
      <c r="L72">
        <f>Tabla1[Unidades_Producidas] - Tabla1[Unidades_Defectuosas]</f>
        <v>190</v>
      </c>
      <c r="M72" s="3" t="str">
        <f>IF(Tabla1[Minutos_Paro]=0,"Nula",IF(Tabla1[Minutos_Paro]&lt;30,"Baja",IF(Tabla1[Minutos_Paro]&lt;60,"Media","Alta")))</f>
        <v>Nula</v>
      </c>
      <c r="N72" s="3">
        <f>250</f>
        <v>250</v>
      </c>
      <c r="O72" s="4">
        <f>Tabla1[Unidades_Defectuosas] / Tabla1[Unidades_Producidas]</f>
        <v>1.5544041450777202E-2</v>
      </c>
      <c r="P72" s="4">
        <f>Tabla1[Unidades_Buenas] / Tabla1[Unidades_Producidas]</f>
        <v>0.98445595854922274</v>
      </c>
      <c r="Q72" s="3">
        <f>IF(Tabla1[Tipo_Defecto_Principal]="Falla de material", 3, IF(Tabla1[Tipo_Defecto_Principal]="Dimensión fuera de especificación", 2, 1))</f>
        <v>1</v>
      </c>
    </row>
    <row r="73" spans="1:17" x14ac:dyDescent="0.3">
      <c r="A73" s="2">
        <v>45205</v>
      </c>
      <c r="B73" t="s">
        <v>19</v>
      </c>
      <c r="C73" t="s">
        <v>15</v>
      </c>
      <c r="D73">
        <v>209</v>
      </c>
      <c r="E73">
        <v>7</v>
      </c>
      <c r="F73" t="s">
        <v>10</v>
      </c>
      <c r="G73">
        <v>0</v>
      </c>
      <c r="H73" t="s">
        <v>26</v>
      </c>
      <c r="I73">
        <f>(480 - Tabla1[Minutos_Paro]) / 60</f>
        <v>8</v>
      </c>
      <c r="J73" t="str">
        <f>IF(Tabla1[Unidades_Defectuosas] &gt; Tabla1[Unidades_Producidas], "ERROR", "OK")</f>
        <v>OK</v>
      </c>
      <c r="K73" s="1">
        <f>Tabla1[Minutos_Paro] / Tabla1[Unidades_Producidas]</f>
        <v>0</v>
      </c>
      <c r="L73">
        <f>Tabla1[Unidades_Producidas] - Tabla1[Unidades_Defectuosas]</f>
        <v>202</v>
      </c>
      <c r="M73" s="3" t="str">
        <f>IF(Tabla1[Minutos_Paro]=0,"Nula",IF(Tabla1[Minutos_Paro]&lt;30,"Baja",IF(Tabla1[Minutos_Paro]&lt;60,"Media","Alta")))</f>
        <v>Nula</v>
      </c>
      <c r="N73" s="3">
        <f>250</f>
        <v>250</v>
      </c>
      <c r="O73" s="4">
        <f>Tabla1[Unidades_Defectuosas] / Tabla1[Unidades_Producidas]</f>
        <v>3.3492822966507178E-2</v>
      </c>
      <c r="P73" s="4">
        <f>Tabla1[Unidades_Buenas] / Tabla1[Unidades_Producidas]</f>
        <v>0.96650717703349287</v>
      </c>
      <c r="Q73" s="3">
        <f>IF(Tabla1[Tipo_Defecto_Principal]="Falla de material", 3, IF(Tabla1[Tipo_Defecto_Principal]="Dimensión fuera de especificación", 2, 1))</f>
        <v>2</v>
      </c>
    </row>
    <row r="74" spans="1:17" x14ac:dyDescent="0.3">
      <c r="A74" s="2">
        <v>45206</v>
      </c>
      <c r="B74" t="s">
        <v>8</v>
      </c>
      <c r="C74" t="s">
        <v>9</v>
      </c>
      <c r="D74">
        <v>208</v>
      </c>
      <c r="E74">
        <v>7</v>
      </c>
      <c r="F74" t="s">
        <v>16</v>
      </c>
      <c r="G74">
        <v>0</v>
      </c>
      <c r="H74" t="s">
        <v>26</v>
      </c>
      <c r="I74">
        <f>(480 - Tabla1[Minutos_Paro]) / 60</f>
        <v>8</v>
      </c>
      <c r="J74" t="str">
        <f>IF(Tabla1[Unidades_Defectuosas] &gt; Tabla1[Unidades_Producidas], "ERROR", "OK")</f>
        <v>OK</v>
      </c>
      <c r="K74" s="1">
        <f>Tabla1[Minutos_Paro] / Tabla1[Unidades_Producidas]</f>
        <v>0</v>
      </c>
      <c r="L74">
        <f>Tabla1[Unidades_Producidas] - Tabla1[Unidades_Defectuosas]</f>
        <v>201</v>
      </c>
      <c r="M74" s="3" t="str">
        <f>IF(Tabla1[Minutos_Paro]=0,"Nula",IF(Tabla1[Minutos_Paro]&lt;30,"Baja",IF(Tabla1[Minutos_Paro]&lt;60,"Media","Alta")))</f>
        <v>Nula</v>
      </c>
      <c r="N74" s="3">
        <f>250</f>
        <v>250</v>
      </c>
      <c r="O74" s="4">
        <f>Tabla1[Unidades_Defectuosas] / Tabla1[Unidades_Producidas]</f>
        <v>3.3653846153846152E-2</v>
      </c>
      <c r="P74" s="4">
        <f>Tabla1[Unidades_Buenas] / Tabla1[Unidades_Producidas]</f>
        <v>0.96634615384615385</v>
      </c>
      <c r="Q74" s="3">
        <f>IF(Tabla1[Tipo_Defecto_Principal]="Falla de material", 3, IF(Tabla1[Tipo_Defecto_Principal]="Dimensión fuera de especificación", 2, 1))</f>
        <v>1</v>
      </c>
    </row>
    <row r="75" spans="1:17" x14ac:dyDescent="0.3">
      <c r="A75" s="2">
        <v>45206</v>
      </c>
      <c r="B75" t="s">
        <v>8</v>
      </c>
      <c r="C75" t="s">
        <v>12</v>
      </c>
      <c r="D75">
        <v>202</v>
      </c>
      <c r="E75">
        <v>11</v>
      </c>
      <c r="F75" t="s">
        <v>10</v>
      </c>
      <c r="G75">
        <v>0</v>
      </c>
      <c r="H75" t="s">
        <v>26</v>
      </c>
      <c r="I75">
        <f>(480 - Tabla1[Minutos_Paro]) / 60</f>
        <v>8</v>
      </c>
      <c r="J75" t="str">
        <f>IF(Tabla1[Unidades_Defectuosas] &gt; Tabla1[Unidades_Producidas], "ERROR", "OK")</f>
        <v>OK</v>
      </c>
      <c r="K75" s="1">
        <f>Tabla1[Minutos_Paro] / Tabla1[Unidades_Producidas]</f>
        <v>0</v>
      </c>
      <c r="L75">
        <f>Tabla1[Unidades_Producidas] - Tabla1[Unidades_Defectuosas]</f>
        <v>191</v>
      </c>
      <c r="M75" s="3" t="str">
        <f>IF(Tabla1[Minutos_Paro]=0,"Nula",IF(Tabla1[Minutos_Paro]&lt;30,"Baja",IF(Tabla1[Minutos_Paro]&lt;60,"Media","Alta")))</f>
        <v>Nula</v>
      </c>
      <c r="N75" s="3">
        <f>250</f>
        <v>250</v>
      </c>
      <c r="O75" s="4">
        <f>Tabla1[Unidades_Defectuosas] / Tabla1[Unidades_Producidas]</f>
        <v>5.4455445544554455E-2</v>
      </c>
      <c r="P75" s="4">
        <f>Tabla1[Unidades_Buenas] / Tabla1[Unidades_Producidas]</f>
        <v>0.9455445544554455</v>
      </c>
      <c r="Q75" s="3">
        <f>IF(Tabla1[Tipo_Defecto_Principal]="Falla de material", 3, IF(Tabla1[Tipo_Defecto_Principal]="Dimensión fuera de especificación", 2, 1))</f>
        <v>2</v>
      </c>
    </row>
    <row r="76" spans="1:17" x14ac:dyDescent="0.3">
      <c r="A76" s="2">
        <v>45206</v>
      </c>
      <c r="B76" t="s">
        <v>8</v>
      </c>
      <c r="C76" t="s">
        <v>13</v>
      </c>
      <c r="D76">
        <v>187</v>
      </c>
      <c r="E76">
        <v>7</v>
      </c>
      <c r="F76" t="s">
        <v>20</v>
      </c>
      <c r="G76">
        <v>15</v>
      </c>
      <c r="H76" t="s">
        <v>23</v>
      </c>
      <c r="I76">
        <f>(480 - Tabla1[Minutos_Paro]) / 60</f>
        <v>7.75</v>
      </c>
      <c r="J76" t="str">
        <f>IF(Tabla1[Unidades_Defectuosas] &gt; Tabla1[Unidades_Producidas], "ERROR", "OK")</f>
        <v>OK</v>
      </c>
      <c r="K76" s="1">
        <f>Tabla1[Minutos_Paro] / Tabla1[Unidades_Producidas]</f>
        <v>8.0213903743315509E-2</v>
      </c>
      <c r="L76">
        <f>Tabla1[Unidades_Producidas] - Tabla1[Unidades_Defectuosas]</f>
        <v>180</v>
      </c>
      <c r="M76" s="3" t="str">
        <f>IF(Tabla1[Minutos_Paro]=0,"Nula",IF(Tabla1[Minutos_Paro]&lt;30,"Baja",IF(Tabla1[Minutos_Paro]&lt;60,"Media","Alta")))</f>
        <v>Baja</v>
      </c>
      <c r="N76" s="3">
        <f>250</f>
        <v>250</v>
      </c>
      <c r="O76" s="4">
        <f>Tabla1[Unidades_Defectuosas] / Tabla1[Unidades_Producidas]</f>
        <v>3.7433155080213901E-2</v>
      </c>
      <c r="P76" s="4">
        <f>Tabla1[Unidades_Buenas] / Tabla1[Unidades_Producidas]</f>
        <v>0.96256684491978606</v>
      </c>
      <c r="Q76" s="3">
        <f>IF(Tabla1[Tipo_Defecto_Principal]="Falla de material", 3, IF(Tabla1[Tipo_Defecto_Principal]="Dimensión fuera de especificación", 2, 1))</f>
        <v>1</v>
      </c>
    </row>
    <row r="77" spans="1:17" x14ac:dyDescent="0.3">
      <c r="A77" s="2">
        <v>45206</v>
      </c>
      <c r="B77" t="s">
        <v>8</v>
      </c>
      <c r="C77" t="s">
        <v>15</v>
      </c>
      <c r="D77">
        <v>221</v>
      </c>
      <c r="E77">
        <v>3</v>
      </c>
      <c r="F77" t="s">
        <v>16</v>
      </c>
      <c r="G77">
        <v>0</v>
      </c>
      <c r="H77" t="s">
        <v>26</v>
      </c>
      <c r="I77">
        <f>(480 - Tabla1[Minutos_Paro]) / 60</f>
        <v>8</v>
      </c>
      <c r="J77" t="str">
        <f>IF(Tabla1[Unidades_Defectuosas] &gt; Tabla1[Unidades_Producidas], "ERROR", "OK")</f>
        <v>OK</v>
      </c>
      <c r="K77" s="1">
        <f>Tabla1[Minutos_Paro] / Tabla1[Unidades_Producidas]</f>
        <v>0</v>
      </c>
      <c r="L77">
        <f>Tabla1[Unidades_Producidas] - Tabla1[Unidades_Defectuosas]</f>
        <v>218</v>
      </c>
      <c r="M77" s="3" t="str">
        <f>IF(Tabla1[Minutos_Paro]=0,"Nula",IF(Tabla1[Minutos_Paro]&lt;30,"Baja",IF(Tabla1[Minutos_Paro]&lt;60,"Media","Alta")))</f>
        <v>Nula</v>
      </c>
      <c r="N77" s="3">
        <f>250</f>
        <v>250</v>
      </c>
      <c r="O77" s="4">
        <f>Tabla1[Unidades_Defectuosas] / Tabla1[Unidades_Producidas]</f>
        <v>1.3574660633484163E-2</v>
      </c>
      <c r="P77" s="4">
        <f>Tabla1[Unidades_Buenas] / Tabla1[Unidades_Producidas]</f>
        <v>0.98642533936651589</v>
      </c>
      <c r="Q77" s="3">
        <f>IF(Tabla1[Tipo_Defecto_Principal]="Falla de material", 3, IF(Tabla1[Tipo_Defecto_Principal]="Dimensión fuera de especificación", 2, 1))</f>
        <v>1</v>
      </c>
    </row>
    <row r="78" spans="1:17" x14ac:dyDescent="0.3">
      <c r="A78" s="2">
        <v>45206</v>
      </c>
      <c r="B78" t="s">
        <v>17</v>
      </c>
      <c r="C78" t="s">
        <v>9</v>
      </c>
      <c r="D78">
        <v>213</v>
      </c>
      <c r="E78">
        <v>3</v>
      </c>
      <c r="F78" t="s">
        <v>14</v>
      </c>
      <c r="G78">
        <v>0</v>
      </c>
      <c r="H78" t="s">
        <v>26</v>
      </c>
      <c r="I78">
        <f>(480 - Tabla1[Minutos_Paro]) / 60</f>
        <v>8</v>
      </c>
      <c r="J78" t="str">
        <f>IF(Tabla1[Unidades_Defectuosas] &gt; Tabla1[Unidades_Producidas], "ERROR", "OK")</f>
        <v>OK</v>
      </c>
      <c r="K78" s="1">
        <f>Tabla1[Minutos_Paro] / Tabla1[Unidades_Producidas]</f>
        <v>0</v>
      </c>
      <c r="L78">
        <f>Tabla1[Unidades_Producidas] - Tabla1[Unidades_Defectuosas]</f>
        <v>210</v>
      </c>
      <c r="M78" s="3" t="str">
        <f>IF(Tabla1[Minutos_Paro]=0,"Nula",IF(Tabla1[Minutos_Paro]&lt;30,"Baja",IF(Tabla1[Minutos_Paro]&lt;60,"Media","Alta")))</f>
        <v>Nula</v>
      </c>
      <c r="N78" s="3">
        <f>250</f>
        <v>250</v>
      </c>
      <c r="O78" s="4">
        <f>Tabla1[Unidades_Defectuosas] / Tabla1[Unidades_Producidas]</f>
        <v>1.4084507042253521E-2</v>
      </c>
      <c r="P78" s="4">
        <f>Tabla1[Unidades_Buenas] / Tabla1[Unidades_Producidas]</f>
        <v>0.9859154929577465</v>
      </c>
      <c r="Q78" s="3">
        <f>IF(Tabla1[Tipo_Defecto_Principal]="Falla de material", 3, IF(Tabla1[Tipo_Defecto_Principal]="Dimensión fuera de especificación", 2, 1))</f>
        <v>3</v>
      </c>
    </row>
    <row r="79" spans="1:17" x14ac:dyDescent="0.3">
      <c r="A79" s="2">
        <v>45206</v>
      </c>
      <c r="B79" t="s">
        <v>17</v>
      </c>
      <c r="C79" t="s">
        <v>12</v>
      </c>
      <c r="D79">
        <v>235</v>
      </c>
      <c r="E79">
        <v>10</v>
      </c>
      <c r="F79" t="s">
        <v>10</v>
      </c>
      <c r="G79">
        <v>15</v>
      </c>
      <c r="H79" t="s">
        <v>21</v>
      </c>
      <c r="I79">
        <f>(480 - Tabla1[Minutos_Paro]) / 60</f>
        <v>7.75</v>
      </c>
      <c r="J79" t="str">
        <f>IF(Tabla1[Unidades_Defectuosas] &gt; Tabla1[Unidades_Producidas], "ERROR", "OK")</f>
        <v>OK</v>
      </c>
      <c r="K79" s="1">
        <f>Tabla1[Minutos_Paro] / Tabla1[Unidades_Producidas]</f>
        <v>6.3829787234042548E-2</v>
      </c>
      <c r="L79">
        <f>Tabla1[Unidades_Producidas] - Tabla1[Unidades_Defectuosas]</f>
        <v>225</v>
      </c>
      <c r="M79" s="3" t="str">
        <f>IF(Tabla1[Minutos_Paro]=0,"Nula",IF(Tabla1[Minutos_Paro]&lt;30,"Baja",IF(Tabla1[Minutos_Paro]&lt;60,"Media","Alta")))</f>
        <v>Baja</v>
      </c>
      <c r="N79" s="3">
        <f>250</f>
        <v>250</v>
      </c>
      <c r="O79" s="4">
        <f>Tabla1[Unidades_Defectuosas] / Tabla1[Unidades_Producidas]</f>
        <v>4.2553191489361701E-2</v>
      </c>
      <c r="P79" s="4">
        <f>Tabla1[Unidades_Buenas] / Tabla1[Unidades_Producidas]</f>
        <v>0.95744680851063835</v>
      </c>
      <c r="Q79" s="3">
        <f>IF(Tabla1[Tipo_Defecto_Principal]="Falla de material", 3, IF(Tabla1[Tipo_Defecto_Principal]="Dimensión fuera de especificación", 2, 1))</f>
        <v>2</v>
      </c>
    </row>
    <row r="80" spans="1:17" x14ac:dyDescent="0.3">
      <c r="A80" s="2">
        <v>45206</v>
      </c>
      <c r="B80" t="s">
        <v>17</v>
      </c>
      <c r="C80" t="s">
        <v>13</v>
      </c>
      <c r="D80">
        <v>231</v>
      </c>
      <c r="E80">
        <v>7</v>
      </c>
      <c r="F80" t="s">
        <v>18</v>
      </c>
      <c r="G80">
        <v>0</v>
      </c>
      <c r="H80" t="s">
        <v>26</v>
      </c>
      <c r="I80">
        <f>(480 - Tabla1[Minutos_Paro]) / 60</f>
        <v>8</v>
      </c>
      <c r="J80" t="str">
        <f>IF(Tabla1[Unidades_Defectuosas] &gt; Tabla1[Unidades_Producidas], "ERROR", "OK")</f>
        <v>OK</v>
      </c>
      <c r="K80" s="1">
        <f>Tabla1[Minutos_Paro] / Tabla1[Unidades_Producidas]</f>
        <v>0</v>
      </c>
      <c r="L80">
        <f>Tabla1[Unidades_Producidas] - Tabla1[Unidades_Defectuosas]</f>
        <v>224</v>
      </c>
      <c r="M80" s="3" t="str">
        <f>IF(Tabla1[Minutos_Paro]=0,"Nula",IF(Tabla1[Minutos_Paro]&lt;30,"Baja",IF(Tabla1[Minutos_Paro]&lt;60,"Media","Alta")))</f>
        <v>Nula</v>
      </c>
      <c r="N80" s="3">
        <f>250</f>
        <v>250</v>
      </c>
      <c r="O80" s="4">
        <f>Tabla1[Unidades_Defectuosas] / Tabla1[Unidades_Producidas]</f>
        <v>3.0303030303030304E-2</v>
      </c>
      <c r="P80" s="4">
        <f>Tabla1[Unidades_Buenas] / Tabla1[Unidades_Producidas]</f>
        <v>0.96969696969696972</v>
      </c>
      <c r="Q80" s="3">
        <f>IF(Tabla1[Tipo_Defecto_Principal]="Falla de material", 3, IF(Tabla1[Tipo_Defecto_Principal]="Dimensión fuera de especificación", 2, 1))</f>
        <v>1</v>
      </c>
    </row>
    <row r="81" spans="1:17" x14ac:dyDescent="0.3">
      <c r="A81" s="2">
        <v>45206</v>
      </c>
      <c r="B81" t="s">
        <v>17</v>
      </c>
      <c r="C81" t="s">
        <v>15</v>
      </c>
      <c r="D81">
        <v>186</v>
      </c>
      <c r="E81">
        <v>6</v>
      </c>
      <c r="F81" t="s">
        <v>16</v>
      </c>
      <c r="G81">
        <v>0</v>
      </c>
      <c r="H81" t="s">
        <v>26</v>
      </c>
      <c r="I81">
        <f>(480 - Tabla1[Minutos_Paro]) / 60</f>
        <v>8</v>
      </c>
      <c r="J81" t="str">
        <f>IF(Tabla1[Unidades_Defectuosas] &gt; Tabla1[Unidades_Producidas], "ERROR", "OK")</f>
        <v>OK</v>
      </c>
      <c r="K81" s="1">
        <f>Tabla1[Minutos_Paro] / Tabla1[Unidades_Producidas]</f>
        <v>0</v>
      </c>
      <c r="L81">
        <f>Tabla1[Unidades_Producidas] - Tabla1[Unidades_Defectuosas]</f>
        <v>180</v>
      </c>
      <c r="M81" s="3" t="str">
        <f>IF(Tabla1[Minutos_Paro]=0,"Nula",IF(Tabla1[Minutos_Paro]&lt;30,"Baja",IF(Tabla1[Minutos_Paro]&lt;60,"Media","Alta")))</f>
        <v>Nula</v>
      </c>
      <c r="N81" s="3">
        <f>250</f>
        <v>250</v>
      </c>
      <c r="O81" s="4">
        <f>Tabla1[Unidades_Defectuosas] / Tabla1[Unidades_Producidas]</f>
        <v>3.2258064516129031E-2</v>
      </c>
      <c r="P81" s="4">
        <f>Tabla1[Unidades_Buenas] / Tabla1[Unidades_Producidas]</f>
        <v>0.967741935483871</v>
      </c>
      <c r="Q81" s="3">
        <f>IF(Tabla1[Tipo_Defecto_Principal]="Falla de material", 3, IF(Tabla1[Tipo_Defecto_Principal]="Dimensión fuera de especificación", 2, 1))</f>
        <v>1</v>
      </c>
    </row>
    <row r="82" spans="1:17" x14ac:dyDescent="0.3">
      <c r="A82" s="2">
        <v>45206</v>
      </c>
      <c r="B82" t="s">
        <v>19</v>
      </c>
      <c r="C82" t="s">
        <v>9</v>
      </c>
      <c r="D82">
        <v>207</v>
      </c>
      <c r="E82">
        <v>2</v>
      </c>
      <c r="F82" t="s">
        <v>16</v>
      </c>
      <c r="G82">
        <v>0</v>
      </c>
      <c r="H82" t="s">
        <v>26</v>
      </c>
      <c r="I82">
        <f>(480 - Tabla1[Minutos_Paro]) / 60</f>
        <v>8</v>
      </c>
      <c r="J82" t="str">
        <f>IF(Tabla1[Unidades_Defectuosas] &gt; Tabla1[Unidades_Producidas], "ERROR", "OK")</f>
        <v>OK</v>
      </c>
      <c r="K82" s="1">
        <f>Tabla1[Minutos_Paro] / Tabla1[Unidades_Producidas]</f>
        <v>0</v>
      </c>
      <c r="L82">
        <f>Tabla1[Unidades_Producidas] - Tabla1[Unidades_Defectuosas]</f>
        <v>205</v>
      </c>
      <c r="M82" s="3" t="str">
        <f>IF(Tabla1[Minutos_Paro]=0,"Nula",IF(Tabla1[Minutos_Paro]&lt;30,"Baja",IF(Tabla1[Minutos_Paro]&lt;60,"Media","Alta")))</f>
        <v>Nula</v>
      </c>
      <c r="N82" s="3">
        <f>250</f>
        <v>250</v>
      </c>
      <c r="O82" s="4">
        <f>Tabla1[Unidades_Defectuosas] / Tabla1[Unidades_Producidas]</f>
        <v>9.6618357487922701E-3</v>
      </c>
      <c r="P82" s="4">
        <f>Tabla1[Unidades_Buenas] / Tabla1[Unidades_Producidas]</f>
        <v>0.99033816425120769</v>
      </c>
      <c r="Q82" s="3">
        <f>IF(Tabla1[Tipo_Defecto_Principal]="Falla de material", 3, IF(Tabla1[Tipo_Defecto_Principal]="Dimensión fuera de especificación", 2, 1))</f>
        <v>1</v>
      </c>
    </row>
    <row r="83" spans="1:17" x14ac:dyDescent="0.3">
      <c r="A83" s="2">
        <v>45206</v>
      </c>
      <c r="B83" t="s">
        <v>19</v>
      </c>
      <c r="C83" t="s">
        <v>12</v>
      </c>
      <c r="D83">
        <v>223</v>
      </c>
      <c r="E83">
        <v>14</v>
      </c>
      <c r="F83" t="s">
        <v>10</v>
      </c>
      <c r="G83">
        <v>0</v>
      </c>
      <c r="H83" t="s">
        <v>26</v>
      </c>
      <c r="I83">
        <f>(480 - Tabla1[Minutos_Paro]) / 60</f>
        <v>8</v>
      </c>
      <c r="J83" t="str">
        <f>IF(Tabla1[Unidades_Defectuosas] &gt; Tabla1[Unidades_Producidas], "ERROR", "OK")</f>
        <v>OK</v>
      </c>
      <c r="K83" s="1">
        <f>Tabla1[Minutos_Paro] / Tabla1[Unidades_Producidas]</f>
        <v>0</v>
      </c>
      <c r="L83">
        <f>Tabla1[Unidades_Producidas] - Tabla1[Unidades_Defectuosas]</f>
        <v>209</v>
      </c>
      <c r="M83" s="3" t="str">
        <f>IF(Tabla1[Minutos_Paro]=0,"Nula",IF(Tabla1[Minutos_Paro]&lt;30,"Baja",IF(Tabla1[Minutos_Paro]&lt;60,"Media","Alta")))</f>
        <v>Nula</v>
      </c>
      <c r="N83" s="3">
        <f>250</f>
        <v>250</v>
      </c>
      <c r="O83" s="4">
        <f>Tabla1[Unidades_Defectuosas] / Tabla1[Unidades_Producidas]</f>
        <v>6.2780269058295965E-2</v>
      </c>
      <c r="P83" s="4">
        <f>Tabla1[Unidades_Buenas] / Tabla1[Unidades_Producidas]</f>
        <v>0.93721973094170408</v>
      </c>
      <c r="Q83" s="3">
        <f>IF(Tabla1[Tipo_Defecto_Principal]="Falla de material", 3, IF(Tabla1[Tipo_Defecto_Principal]="Dimensión fuera de especificación", 2, 1))</f>
        <v>2</v>
      </c>
    </row>
    <row r="84" spans="1:17" x14ac:dyDescent="0.3">
      <c r="A84" s="2">
        <v>45206</v>
      </c>
      <c r="B84" t="s">
        <v>19</v>
      </c>
      <c r="C84" t="s">
        <v>13</v>
      </c>
      <c r="D84">
        <v>189</v>
      </c>
      <c r="E84">
        <v>7</v>
      </c>
      <c r="F84" t="s">
        <v>10</v>
      </c>
      <c r="G84">
        <v>0</v>
      </c>
      <c r="H84" t="s">
        <v>26</v>
      </c>
      <c r="I84">
        <f>(480 - Tabla1[Minutos_Paro]) / 60</f>
        <v>8</v>
      </c>
      <c r="J84" t="str">
        <f>IF(Tabla1[Unidades_Defectuosas] &gt; Tabla1[Unidades_Producidas], "ERROR", "OK")</f>
        <v>OK</v>
      </c>
      <c r="K84" s="1">
        <f>Tabla1[Minutos_Paro] / Tabla1[Unidades_Producidas]</f>
        <v>0</v>
      </c>
      <c r="L84">
        <f>Tabla1[Unidades_Producidas] - Tabla1[Unidades_Defectuosas]</f>
        <v>182</v>
      </c>
      <c r="M84" s="3" t="str">
        <f>IF(Tabla1[Minutos_Paro]=0,"Nula",IF(Tabla1[Minutos_Paro]&lt;30,"Baja",IF(Tabla1[Minutos_Paro]&lt;60,"Media","Alta")))</f>
        <v>Nula</v>
      </c>
      <c r="N84" s="3">
        <f>250</f>
        <v>250</v>
      </c>
      <c r="O84" s="4">
        <f>Tabla1[Unidades_Defectuosas] / Tabla1[Unidades_Producidas]</f>
        <v>3.7037037037037035E-2</v>
      </c>
      <c r="P84" s="4">
        <f>Tabla1[Unidades_Buenas] / Tabla1[Unidades_Producidas]</f>
        <v>0.96296296296296291</v>
      </c>
      <c r="Q84" s="3">
        <f>IF(Tabla1[Tipo_Defecto_Principal]="Falla de material", 3, IF(Tabla1[Tipo_Defecto_Principal]="Dimensión fuera de especificación", 2, 1))</f>
        <v>2</v>
      </c>
    </row>
    <row r="85" spans="1:17" x14ac:dyDescent="0.3">
      <c r="A85" s="2">
        <v>45206</v>
      </c>
      <c r="B85" t="s">
        <v>19</v>
      </c>
      <c r="C85" t="s">
        <v>15</v>
      </c>
      <c r="D85">
        <v>185</v>
      </c>
      <c r="E85">
        <v>6</v>
      </c>
      <c r="F85" t="s">
        <v>14</v>
      </c>
      <c r="G85">
        <v>0</v>
      </c>
      <c r="H85" t="s">
        <v>26</v>
      </c>
      <c r="I85">
        <f>(480 - Tabla1[Minutos_Paro]) / 60</f>
        <v>8</v>
      </c>
      <c r="J85" t="str">
        <f>IF(Tabla1[Unidades_Defectuosas] &gt; Tabla1[Unidades_Producidas], "ERROR", "OK")</f>
        <v>OK</v>
      </c>
      <c r="K85" s="1">
        <f>Tabla1[Minutos_Paro] / Tabla1[Unidades_Producidas]</f>
        <v>0</v>
      </c>
      <c r="L85">
        <f>Tabla1[Unidades_Producidas] - Tabla1[Unidades_Defectuosas]</f>
        <v>179</v>
      </c>
      <c r="M85" s="3" t="str">
        <f>IF(Tabla1[Minutos_Paro]=0,"Nula",IF(Tabla1[Minutos_Paro]&lt;30,"Baja",IF(Tabla1[Minutos_Paro]&lt;60,"Media","Alta")))</f>
        <v>Nula</v>
      </c>
      <c r="N85" s="3">
        <f>250</f>
        <v>250</v>
      </c>
      <c r="O85" s="4">
        <f>Tabla1[Unidades_Defectuosas] / Tabla1[Unidades_Producidas]</f>
        <v>3.2432432432432434E-2</v>
      </c>
      <c r="P85" s="4">
        <f>Tabla1[Unidades_Buenas] / Tabla1[Unidades_Producidas]</f>
        <v>0.96756756756756757</v>
      </c>
      <c r="Q85" s="3">
        <f>IF(Tabla1[Tipo_Defecto_Principal]="Falla de material", 3, IF(Tabla1[Tipo_Defecto_Principal]="Dimensión fuera de especificación", 2, 1))</f>
        <v>3</v>
      </c>
    </row>
    <row r="86" spans="1:17" x14ac:dyDescent="0.3">
      <c r="A86" s="2">
        <v>45207</v>
      </c>
      <c r="B86" t="s">
        <v>8</v>
      </c>
      <c r="C86" t="s">
        <v>9</v>
      </c>
      <c r="D86">
        <v>249</v>
      </c>
      <c r="E86">
        <v>4</v>
      </c>
      <c r="F86" t="s">
        <v>16</v>
      </c>
      <c r="G86">
        <v>15</v>
      </c>
      <c r="H86" t="s">
        <v>24</v>
      </c>
      <c r="I86">
        <f>(480 - Tabla1[Minutos_Paro]) / 60</f>
        <v>7.75</v>
      </c>
      <c r="J86" t="str">
        <f>IF(Tabla1[Unidades_Defectuosas] &gt; Tabla1[Unidades_Producidas], "ERROR", "OK")</f>
        <v>OK</v>
      </c>
      <c r="K86" s="1">
        <f>Tabla1[Minutos_Paro] / Tabla1[Unidades_Producidas]</f>
        <v>6.0240963855421686E-2</v>
      </c>
      <c r="L86">
        <f>Tabla1[Unidades_Producidas] - Tabla1[Unidades_Defectuosas]</f>
        <v>245</v>
      </c>
      <c r="M86" s="3" t="str">
        <f>IF(Tabla1[Minutos_Paro]=0,"Nula",IF(Tabla1[Minutos_Paro]&lt;30,"Baja",IF(Tabla1[Minutos_Paro]&lt;60,"Media","Alta")))</f>
        <v>Baja</v>
      </c>
      <c r="N86" s="3">
        <f>250</f>
        <v>250</v>
      </c>
      <c r="O86" s="4">
        <f>Tabla1[Unidades_Defectuosas] / Tabla1[Unidades_Producidas]</f>
        <v>1.6064257028112448E-2</v>
      </c>
      <c r="P86" s="4">
        <f>Tabla1[Unidades_Buenas] / Tabla1[Unidades_Producidas]</f>
        <v>0.98393574297188757</v>
      </c>
      <c r="Q86" s="3">
        <f>IF(Tabla1[Tipo_Defecto_Principal]="Falla de material", 3, IF(Tabla1[Tipo_Defecto_Principal]="Dimensión fuera de especificación", 2, 1))</f>
        <v>1</v>
      </c>
    </row>
    <row r="87" spans="1:17" x14ac:dyDescent="0.3">
      <c r="A87" s="2">
        <v>45207</v>
      </c>
      <c r="B87" t="s">
        <v>8</v>
      </c>
      <c r="C87" t="s">
        <v>12</v>
      </c>
      <c r="D87">
        <v>210</v>
      </c>
      <c r="E87">
        <v>11</v>
      </c>
      <c r="F87" t="s">
        <v>10</v>
      </c>
      <c r="G87">
        <v>60</v>
      </c>
      <c r="H87" t="s">
        <v>11</v>
      </c>
      <c r="I87">
        <f>(480 - Tabla1[Minutos_Paro]) / 60</f>
        <v>7</v>
      </c>
      <c r="J87" t="str">
        <f>IF(Tabla1[Unidades_Defectuosas] &gt; Tabla1[Unidades_Producidas], "ERROR", "OK")</f>
        <v>OK</v>
      </c>
      <c r="K87" s="1">
        <f>Tabla1[Minutos_Paro] / Tabla1[Unidades_Producidas]</f>
        <v>0.2857142857142857</v>
      </c>
      <c r="L87">
        <f>Tabla1[Unidades_Producidas] - Tabla1[Unidades_Defectuosas]</f>
        <v>199</v>
      </c>
      <c r="M87" s="3" t="str">
        <f>IF(Tabla1[Minutos_Paro]=0,"Nula",IF(Tabla1[Minutos_Paro]&lt;30,"Baja",IF(Tabla1[Minutos_Paro]&lt;60,"Media","Alta")))</f>
        <v>Alta</v>
      </c>
      <c r="N87" s="3">
        <f>250</f>
        <v>250</v>
      </c>
      <c r="O87" s="4">
        <f>Tabla1[Unidades_Defectuosas] / Tabla1[Unidades_Producidas]</f>
        <v>5.2380952380952382E-2</v>
      </c>
      <c r="P87" s="4">
        <f>Tabla1[Unidades_Buenas] / Tabla1[Unidades_Producidas]</f>
        <v>0.94761904761904758</v>
      </c>
      <c r="Q87" s="3">
        <f>IF(Tabla1[Tipo_Defecto_Principal]="Falla de material", 3, IF(Tabla1[Tipo_Defecto_Principal]="Dimensión fuera de especificación", 2, 1))</f>
        <v>2</v>
      </c>
    </row>
    <row r="88" spans="1:17" x14ac:dyDescent="0.3">
      <c r="A88" s="2">
        <v>45207</v>
      </c>
      <c r="B88" t="s">
        <v>8</v>
      </c>
      <c r="C88" t="s">
        <v>13</v>
      </c>
      <c r="D88">
        <v>185</v>
      </c>
      <c r="E88">
        <v>11</v>
      </c>
      <c r="F88" t="s">
        <v>16</v>
      </c>
      <c r="G88">
        <v>0</v>
      </c>
      <c r="H88" t="s">
        <v>26</v>
      </c>
      <c r="I88">
        <f>(480 - Tabla1[Minutos_Paro]) / 60</f>
        <v>8</v>
      </c>
      <c r="J88" t="str">
        <f>IF(Tabla1[Unidades_Defectuosas] &gt; Tabla1[Unidades_Producidas], "ERROR", "OK")</f>
        <v>OK</v>
      </c>
      <c r="K88" s="1">
        <f>Tabla1[Minutos_Paro] / Tabla1[Unidades_Producidas]</f>
        <v>0</v>
      </c>
      <c r="L88">
        <f>Tabla1[Unidades_Producidas] - Tabla1[Unidades_Defectuosas]</f>
        <v>174</v>
      </c>
      <c r="M88" s="3" t="str">
        <f>IF(Tabla1[Minutos_Paro]=0,"Nula",IF(Tabla1[Minutos_Paro]&lt;30,"Baja",IF(Tabla1[Minutos_Paro]&lt;60,"Media","Alta")))</f>
        <v>Nula</v>
      </c>
      <c r="N88" s="3">
        <f>250</f>
        <v>250</v>
      </c>
      <c r="O88" s="4">
        <f>Tabla1[Unidades_Defectuosas] / Tabla1[Unidades_Producidas]</f>
        <v>5.9459459459459463E-2</v>
      </c>
      <c r="P88" s="4">
        <f>Tabla1[Unidades_Buenas] / Tabla1[Unidades_Producidas]</f>
        <v>0.94054054054054059</v>
      </c>
      <c r="Q88" s="3">
        <f>IF(Tabla1[Tipo_Defecto_Principal]="Falla de material", 3, IF(Tabla1[Tipo_Defecto_Principal]="Dimensión fuera de especificación", 2, 1))</f>
        <v>1</v>
      </c>
    </row>
    <row r="89" spans="1:17" x14ac:dyDescent="0.3">
      <c r="A89" s="2">
        <v>45207</v>
      </c>
      <c r="B89" t="s">
        <v>8</v>
      </c>
      <c r="C89" t="s">
        <v>15</v>
      </c>
      <c r="D89">
        <v>191</v>
      </c>
      <c r="E89">
        <v>4</v>
      </c>
      <c r="F89" t="s">
        <v>18</v>
      </c>
      <c r="G89">
        <v>0</v>
      </c>
      <c r="H89" t="s">
        <v>26</v>
      </c>
      <c r="I89">
        <f>(480 - Tabla1[Minutos_Paro]) / 60</f>
        <v>8</v>
      </c>
      <c r="J89" t="str">
        <f>IF(Tabla1[Unidades_Defectuosas] &gt; Tabla1[Unidades_Producidas], "ERROR", "OK")</f>
        <v>OK</v>
      </c>
      <c r="K89" s="1">
        <f>Tabla1[Minutos_Paro] / Tabla1[Unidades_Producidas]</f>
        <v>0</v>
      </c>
      <c r="L89">
        <f>Tabla1[Unidades_Producidas] - Tabla1[Unidades_Defectuosas]</f>
        <v>187</v>
      </c>
      <c r="M89" s="3" t="str">
        <f>IF(Tabla1[Minutos_Paro]=0,"Nula",IF(Tabla1[Minutos_Paro]&lt;30,"Baja",IF(Tabla1[Minutos_Paro]&lt;60,"Media","Alta")))</f>
        <v>Nula</v>
      </c>
      <c r="N89" s="3">
        <f>250</f>
        <v>250</v>
      </c>
      <c r="O89" s="4">
        <f>Tabla1[Unidades_Defectuosas] / Tabla1[Unidades_Producidas]</f>
        <v>2.0942408376963352E-2</v>
      </c>
      <c r="P89" s="4">
        <f>Tabla1[Unidades_Buenas] / Tabla1[Unidades_Producidas]</f>
        <v>0.97905759162303663</v>
      </c>
      <c r="Q89" s="3">
        <f>IF(Tabla1[Tipo_Defecto_Principal]="Falla de material", 3, IF(Tabla1[Tipo_Defecto_Principal]="Dimensión fuera de especificación", 2, 1))</f>
        <v>1</v>
      </c>
    </row>
    <row r="90" spans="1:17" x14ac:dyDescent="0.3">
      <c r="A90" s="2">
        <v>45207</v>
      </c>
      <c r="B90" t="s">
        <v>17</v>
      </c>
      <c r="C90" t="s">
        <v>9</v>
      </c>
      <c r="D90">
        <v>182</v>
      </c>
      <c r="E90">
        <v>2</v>
      </c>
      <c r="F90" t="s">
        <v>16</v>
      </c>
      <c r="G90">
        <v>0</v>
      </c>
      <c r="H90" t="s">
        <v>26</v>
      </c>
      <c r="I90">
        <f>(480 - Tabla1[Minutos_Paro]) / 60</f>
        <v>8</v>
      </c>
      <c r="J90" t="str">
        <f>IF(Tabla1[Unidades_Defectuosas] &gt; Tabla1[Unidades_Producidas], "ERROR", "OK")</f>
        <v>OK</v>
      </c>
      <c r="K90" s="1">
        <f>Tabla1[Minutos_Paro] / Tabla1[Unidades_Producidas]</f>
        <v>0</v>
      </c>
      <c r="L90">
        <f>Tabla1[Unidades_Producidas] - Tabla1[Unidades_Defectuosas]</f>
        <v>180</v>
      </c>
      <c r="M90" s="3" t="str">
        <f>IF(Tabla1[Minutos_Paro]=0,"Nula",IF(Tabla1[Minutos_Paro]&lt;30,"Baja",IF(Tabla1[Minutos_Paro]&lt;60,"Media","Alta")))</f>
        <v>Nula</v>
      </c>
      <c r="N90" s="3">
        <f>250</f>
        <v>250</v>
      </c>
      <c r="O90" s="4">
        <f>Tabla1[Unidades_Defectuosas] / Tabla1[Unidades_Producidas]</f>
        <v>1.098901098901099E-2</v>
      </c>
      <c r="P90" s="4">
        <f>Tabla1[Unidades_Buenas] / Tabla1[Unidades_Producidas]</f>
        <v>0.98901098901098905</v>
      </c>
      <c r="Q90" s="3">
        <f>IF(Tabla1[Tipo_Defecto_Principal]="Falla de material", 3, IF(Tabla1[Tipo_Defecto_Principal]="Dimensión fuera de especificación", 2, 1))</f>
        <v>1</v>
      </c>
    </row>
    <row r="91" spans="1:17" x14ac:dyDescent="0.3">
      <c r="A91" s="2">
        <v>45207</v>
      </c>
      <c r="B91" t="s">
        <v>17</v>
      </c>
      <c r="C91" t="s">
        <v>12</v>
      </c>
      <c r="D91">
        <v>223</v>
      </c>
      <c r="E91">
        <v>14</v>
      </c>
      <c r="F91" t="s">
        <v>10</v>
      </c>
      <c r="G91">
        <v>0</v>
      </c>
      <c r="H91" t="s">
        <v>26</v>
      </c>
      <c r="I91">
        <f>(480 - Tabla1[Minutos_Paro]) / 60</f>
        <v>8</v>
      </c>
      <c r="J91" t="str">
        <f>IF(Tabla1[Unidades_Defectuosas] &gt; Tabla1[Unidades_Producidas], "ERROR", "OK")</f>
        <v>OK</v>
      </c>
      <c r="K91" s="1">
        <f>Tabla1[Minutos_Paro] / Tabla1[Unidades_Producidas]</f>
        <v>0</v>
      </c>
      <c r="L91">
        <f>Tabla1[Unidades_Producidas] - Tabla1[Unidades_Defectuosas]</f>
        <v>209</v>
      </c>
      <c r="M91" s="3" t="str">
        <f>IF(Tabla1[Minutos_Paro]=0,"Nula",IF(Tabla1[Minutos_Paro]&lt;30,"Baja",IF(Tabla1[Minutos_Paro]&lt;60,"Media","Alta")))</f>
        <v>Nula</v>
      </c>
      <c r="N91" s="3">
        <f>250</f>
        <v>250</v>
      </c>
      <c r="O91" s="4">
        <f>Tabla1[Unidades_Defectuosas] / Tabla1[Unidades_Producidas]</f>
        <v>6.2780269058295965E-2</v>
      </c>
      <c r="P91" s="4">
        <f>Tabla1[Unidades_Buenas] / Tabla1[Unidades_Producidas]</f>
        <v>0.93721973094170408</v>
      </c>
      <c r="Q91" s="3">
        <f>IF(Tabla1[Tipo_Defecto_Principal]="Falla de material", 3, IF(Tabla1[Tipo_Defecto_Principal]="Dimensión fuera de especificación", 2, 1))</f>
        <v>2</v>
      </c>
    </row>
    <row r="92" spans="1:17" x14ac:dyDescent="0.3">
      <c r="A92" s="2">
        <v>45207</v>
      </c>
      <c r="B92" t="s">
        <v>17</v>
      </c>
      <c r="C92" t="s">
        <v>13</v>
      </c>
      <c r="D92">
        <v>242</v>
      </c>
      <c r="E92">
        <v>12</v>
      </c>
      <c r="F92" t="s">
        <v>16</v>
      </c>
      <c r="G92">
        <v>0</v>
      </c>
      <c r="H92" t="s">
        <v>26</v>
      </c>
      <c r="I92">
        <f>(480 - Tabla1[Minutos_Paro]) / 60</f>
        <v>8</v>
      </c>
      <c r="J92" t="str">
        <f>IF(Tabla1[Unidades_Defectuosas] &gt; Tabla1[Unidades_Producidas], "ERROR", "OK")</f>
        <v>OK</v>
      </c>
      <c r="K92" s="1">
        <f>Tabla1[Minutos_Paro] / Tabla1[Unidades_Producidas]</f>
        <v>0</v>
      </c>
      <c r="L92">
        <f>Tabla1[Unidades_Producidas] - Tabla1[Unidades_Defectuosas]</f>
        <v>230</v>
      </c>
      <c r="M92" s="3" t="str">
        <f>IF(Tabla1[Minutos_Paro]=0,"Nula",IF(Tabla1[Minutos_Paro]&lt;30,"Baja",IF(Tabla1[Minutos_Paro]&lt;60,"Media","Alta")))</f>
        <v>Nula</v>
      </c>
      <c r="N92" s="3">
        <f>250</f>
        <v>250</v>
      </c>
      <c r="O92" s="4">
        <f>Tabla1[Unidades_Defectuosas] / Tabla1[Unidades_Producidas]</f>
        <v>4.9586776859504134E-2</v>
      </c>
      <c r="P92" s="4">
        <f>Tabla1[Unidades_Buenas] / Tabla1[Unidades_Producidas]</f>
        <v>0.95041322314049592</v>
      </c>
      <c r="Q92" s="3">
        <f>IF(Tabla1[Tipo_Defecto_Principal]="Falla de material", 3, IF(Tabla1[Tipo_Defecto_Principal]="Dimensión fuera de especificación", 2, 1))</f>
        <v>1</v>
      </c>
    </row>
    <row r="93" spans="1:17" x14ac:dyDescent="0.3">
      <c r="A93" s="2">
        <v>45207</v>
      </c>
      <c r="B93" t="s">
        <v>17</v>
      </c>
      <c r="C93" t="s">
        <v>15</v>
      </c>
      <c r="D93">
        <v>219</v>
      </c>
      <c r="E93">
        <v>8</v>
      </c>
      <c r="F93" t="s">
        <v>16</v>
      </c>
      <c r="G93">
        <v>0</v>
      </c>
      <c r="H93" t="s">
        <v>26</v>
      </c>
      <c r="I93">
        <f>(480 - Tabla1[Minutos_Paro]) / 60</f>
        <v>8</v>
      </c>
      <c r="J93" t="str">
        <f>IF(Tabla1[Unidades_Defectuosas] &gt; Tabla1[Unidades_Producidas], "ERROR", "OK")</f>
        <v>OK</v>
      </c>
      <c r="K93" s="1">
        <f>Tabla1[Minutos_Paro] / Tabla1[Unidades_Producidas]</f>
        <v>0</v>
      </c>
      <c r="L93">
        <f>Tabla1[Unidades_Producidas] - Tabla1[Unidades_Defectuosas]</f>
        <v>211</v>
      </c>
      <c r="M93" s="3" t="str">
        <f>IF(Tabla1[Minutos_Paro]=0,"Nula",IF(Tabla1[Minutos_Paro]&lt;30,"Baja",IF(Tabla1[Minutos_Paro]&lt;60,"Media","Alta")))</f>
        <v>Nula</v>
      </c>
      <c r="N93" s="3">
        <f>250</f>
        <v>250</v>
      </c>
      <c r="O93" s="4">
        <f>Tabla1[Unidades_Defectuosas] / Tabla1[Unidades_Producidas]</f>
        <v>3.6529680365296802E-2</v>
      </c>
      <c r="P93" s="4">
        <f>Tabla1[Unidades_Buenas] / Tabla1[Unidades_Producidas]</f>
        <v>0.9634703196347032</v>
      </c>
      <c r="Q93" s="3">
        <f>IF(Tabla1[Tipo_Defecto_Principal]="Falla de material", 3, IF(Tabla1[Tipo_Defecto_Principal]="Dimensión fuera de especificación", 2, 1))</f>
        <v>1</v>
      </c>
    </row>
    <row r="94" spans="1:17" x14ac:dyDescent="0.3">
      <c r="A94" s="2">
        <v>45207</v>
      </c>
      <c r="B94" t="s">
        <v>19</v>
      </c>
      <c r="C94" t="s">
        <v>9</v>
      </c>
      <c r="D94">
        <v>241</v>
      </c>
      <c r="E94">
        <v>10</v>
      </c>
      <c r="F94" t="s">
        <v>18</v>
      </c>
      <c r="G94">
        <v>15</v>
      </c>
      <c r="H94" t="s">
        <v>23</v>
      </c>
      <c r="I94">
        <f>(480 - Tabla1[Minutos_Paro]) / 60</f>
        <v>7.75</v>
      </c>
      <c r="J94" t="str">
        <f>IF(Tabla1[Unidades_Defectuosas] &gt; Tabla1[Unidades_Producidas], "ERROR", "OK")</f>
        <v>OK</v>
      </c>
      <c r="K94" s="1">
        <f>Tabla1[Minutos_Paro] / Tabla1[Unidades_Producidas]</f>
        <v>6.2240663900414939E-2</v>
      </c>
      <c r="L94">
        <f>Tabla1[Unidades_Producidas] - Tabla1[Unidades_Defectuosas]</f>
        <v>231</v>
      </c>
      <c r="M94" s="3" t="str">
        <f>IF(Tabla1[Minutos_Paro]=0,"Nula",IF(Tabla1[Minutos_Paro]&lt;30,"Baja",IF(Tabla1[Minutos_Paro]&lt;60,"Media","Alta")))</f>
        <v>Baja</v>
      </c>
      <c r="N94" s="3">
        <f>250</f>
        <v>250</v>
      </c>
      <c r="O94" s="4">
        <f>Tabla1[Unidades_Defectuosas] / Tabla1[Unidades_Producidas]</f>
        <v>4.1493775933609957E-2</v>
      </c>
      <c r="P94" s="4">
        <f>Tabla1[Unidades_Buenas] / Tabla1[Unidades_Producidas]</f>
        <v>0.95850622406639008</v>
      </c>
      <c r="Q94" s="3">
        <f>IF(Tabla1[Tipo_Defecto_Principal]="Falla de material", 3, IF(Tabla1[Tipo_Defecto_Principal]="Dimensión fuera de especificación", 2, 1))</f>
        <v>1</v>
      </c>
    </row>
    <row r="95" spans="1:17" x14ac:dyDescent="0.3">
      <c r="A95" s="2">
        <v>45207</v>
      </c>
      <c r="B95" t="s">
        <v>19</v>
      </c>
      <c r="C95" t="s">
        <v>12</v>
      </c>
      <c r="D95">
        <v>232</v>
      </c>
      <c r="E95">
        <v>25</v>
      </c>
      <c r="F95" t="s">
        <v>18</v>
      </c>
      <c r="G95">
        <v>0</v>
      </c>
      <c r="H95" t="s">
        <v>26</v>
      </c>
      <c r="I95">
        <f>(480 - Tabla1[Minutos_Paro]) / 60</f>
        <v>8</v>
      </c>
      <c r="J95" t="str">
        <f>IF(Tabla1[Unidades_Defectuosas] &gt; Tabla1[Unidades_Producidas], "ERROR", "OK")</f>
        <v>OK</v>
      </c>
      <c r="K95" s="1">
        <f>Tabla1[Minutos_Paro] / Tabla1[Unidades_Producidas]</f>
        <v>0</v>
      </c>
      <c r="L95">
        <f>Tabla1[Unidades_Producidas] - Tabla1[Unidades_Defectuosas]</f>
        <v>207</v>
      </c>
      <c r="M95" s="3" t="str">
        <f>IF(Tabla1[Minutos_Paro]=0,"Nula",IF(Tabla1[Minutos_Paro]&lt;30,"Baja",IF(Tabla1[Minutos_Paro]&lt;60,"Media","Alta")))</f>
        <v>Nula</v>
      </c>
      <c r="N95" s="3">
        <f>250</f>
        <v>250</v>
      </c>
      <c r="O95" s="4">
        <f>Tabla1[Unidades_Defectuosas] / Tabla1[Unidades_Producidas]</f>
        <v>0.10775862068965517</v>
      </c>
      <c r="P95" s="4">
        <f>Tabla1[Unidades_Buenas] / Tabla1[Unidades_Producidas]</f>
        <v>0.89224137931034486</v>
      </c>
      <c r="Q95" s="3">
        <f>IF(Tabla1[Tipo_Defecto_Principal]="Falla de material", 3, IF(Tabla1[Tipo_Defecto_Principal]="Dimensión fuera de especificación", 2, 1))</f>
        <v>1</v>
      </c>
    </row>
    <row r="96" spans="1:17" x14ac:dyDescent="0.3">
      <c r="A96" s="2">
        <v>45207</v>
      </c>
      <c r="B96" t="s">
        <v>19</v>
      </c>
      <c r="C96" t="s">
        <v>13</v>
      </c>
      <c r="D96">
        <v>185</v>
      </c>
      <c r="E96">
        <v>10</v>
      </c>
      <c r="F96" t="s">
        <v>18</v>
      </c>
      <c r="G96">
        <v>0</v>
      </c>
      <c r="H96" t="s">
        <v>26</v>
      </c>
      <c r="I96">
        <f>(480 - Tabla1[Minutos_Paro]) / 60</f>
        <v>8</v>
      </c>
      <c r="J96" t="str">
        <f>IF(Tabla1[Unidades_Defectuosas] &gt; Tabla1[Unidades_Producidas], "ERROR", "OK")</f>
        <v>OK</v>
      </c>
      <c r="K96" s="1">
        <f>Tabla1[Minutos_Paro] / Tabla1[Unidades_Producidas]</f>
        <v>0</v>
      </c>
      <c r="L96">
        <f>Tabla1[Unidades_Producidas] - Tabla1[Unidades_Defectuosas]</f>
        <v>175</v>
      </c>
      <c r="M96" s="3" t="str">
        <f>IF(Tabla1[Minutos_Paro]=0,"Nula",IF(Tabla1[Minutos_Paro]&lt;30,"Baja",IF(Tabla1[Minutos_Paro]&lt;60,"Media","Alta")))</f>
        <v>Nula</v>
      </c>
      <c r="N96" s="3">
        <f>250</f>
        <v>250</v>
      </c>
      <c r="O96" s="4">
        <f>Tabla1[Unidades_Defectuosas] / Tabla1[Unidades_Producidas]</f>
        <v>5.4054054054054057E-2</v>
      </c>
      <c r="P96" s="4">
        <f>Tabla1[Unidades_Buenas] / Tabla1[Unidades_Producidas]</f>
        <v>0.94594594594594594</v>
      </c>
      <c r="Q96" s="3">
        <f>IF(Tabla1[Tipo_Defecto_Principal]="Falla de material", 3, IF(Tabla1[Tipo_Defecto_Principal]="Dimensión fuera de especificación", 2, 1))</f>
        <v>1</v>
      </c>
    </row>
    <row r="97" spans="1:17" x14ac:dyDescent="0.3">
      <c r="A97" s="2">
        <v>45207</v>
      </c>
      <c r="B97" t="s">
        <v>19</v>
      </c>
      <c r="C97" t="s">
        <v>15</v>
      </c>
      <c r="D97">
        <v>212</v>
      </c>
      <c r="E97">
        <v>6</v>
      </c>
      <c r="F97" t="s">
        <v>18</v>
      </c>
      <c r="G97">
        <v>15</v>
      </c>
      <c r="H97" t="s">
        <v>11</v>
      </c>
      <c r="I97">
        <f>(480 - Tabla1[Minutos_Paro]) / 60</f>
        <v>7.75</v>
      </c>
      <c r="J97" t="str">
        <f>IF(Tabla1[Unidades_Defectuosas] &gt; Tabla1[Unidades_Producidas], "ERROR", "OK")</f>
        <v>OK</v>
      </c>
      <c r="K97" s="1">
        <f>Tabla1[Minutos_Paro] / Tabla1[Unidades_Producidas]</f>
        <v>7.0754716981132074E-2</v>
      </c>
      <c r="L97">
        <f>Tabla1[Unidades_Producidas] - Tabla1[Unidades_Defectuosas]</f>
        <v>206</v>
      </c>
      <c r="M97" s="3" t="str">
        <f>IF(Tabla1[Minutos_Paro]=0,"Nula",IF(Tabla1[Minutos_Paro]&lt;30,"Baja",IF(Tabla1[Minutos_Paro]&lt;60,"Media","Alta")))</f>
        <v>Baja</v>
      </c>
      <c r="N97" s="3">
        <f>250</f>
        <v>250</v>
      </c>
      <c r="O97" s="4">
        <f>Tabla1[Unidades_Defectuosas] / Tabla1[Unidades_Producidas]</f>
        <v>2.8301886792452831E-2</v>
      </c>
      <c r="P97" s="4">
        <f>Tabla1[Unidades_Buenas] / Tabla1[Unidades_Producidas]</f>
        <v>0.97169811320754718</v>
      </c>
      <c r="Q97" s="3">
        <f>IF(Tabla1[Tipo_Defecto_Principal]="Falla de material", 3, IF(Tabla1[Tipo_Defecto_Principal]="Dimensión fuera de especificación", 2, 1))</f>
        <v>1</v>
      </c>
    </row>
    <row r="98" spans="1:17" x14ac:dyDescent="0.3">
      <c r="A98" s="2">
        <v>45208</v>
      </c>
      <c r="B98" t="s">
        <v>8</v>
      </c>
      <c r="C98" t="s">
        <v>9</v>
      </c>
      <c r="D98">
        <v>235</v>
      </c>
      <c r="E98">
        <v>5</v>
      </c>
      <c r="F98" t="s">
        <v>18</v>
      </c>
      <c r="G98">
        <v>0</v>
      </c>
      <c r="H98" t="s">
        <v>26</v>
      </c>
      <c r="I98">
        <f>(480 - Tabla1[Minutos_Paro]) / 60</f>
        <v>8</v>
      </c>
      <c r="J98" t="str">
        <f>IF(Tabla1[Unidades_Defectuosas] &gt; Tabla1[Unidades_Producidas], "ERROR", "OK")</f>
        <v>OK</v>
      </c>
      <c r="K98" s="1">
        <f>Tabla1[Minutos_Paro] / Tabla1[Unidades_Producidas]</f>
        <v>0</v>
      </c>
      <c r="L98">
        <f>Tabla1[Unidades_Producidas] - Tabla1[Unidades_Defectuosas]</f>
        <v>230</v>
      </c>
      <c r="M98" s="3" t="str">
        <f>IF(Tabla1[Minutos_Paro]=0,"Nula",IF(Tabla1[Minutos_Paro]&lt;30,"Baja",IF(Tabla1[Minutos_Paro]&lt;60,"Media","Alta")))</f>
        <v>Nula</v>
      </c>
      <c r="N98" s="3">
        <f>250</f>
        <v>250</v>
      </c>
      <c r="O98" s="4">
        <f>Tabla1[Unidades_Defectuosas] / Tabla1[Unidades_Producidas]</f>
        <v>2.1276595744680851E-2</v>
      </c>
      <c r="P98" s="4">
        <f>Tabla1[Unidades_Buenas] / Tabla1[Unidades_Producidas]</f>
        <v>0.97872340425531912</v>
      </c>
      <c r="Q98" s="3">
        <f>IF(Tabla1[Tipo_Defecto_Principal]="Falla de material", 3, IF(Tabla1[Tipo_Defecto_Principal]="Dimensión fuera de especificación", 2, 1))</f>
        <v>1</v>
      </c>
    </row>
    <row r="99" spans="1:17" x14ac:dyDescent="0.3">
      <c r="A99" s="2">
        <v>45208</v>
      </c>
      <c r="B99" t="s">
        <v>8</v>
      </c>
      <c r="C99" t="s">
        <v>12</v>
      </c>
      <c r="D99">
        <v>215</v>
      </c>
      <c r="E99">
        <v>18</v>
      </c>
      <c r="F99" t="s">
        <v>10</v>
      </c>
      <c r="G99">
        <v>0</v>
      </c>
      <c r="H99" t="s">
        <v>26</v>
      </c>
      <c r="I99">
        <f>(480 - Tabla1[Minutos_Paro]) / 60</f>
        <v>8</v>
      </c>
      <c r="J99" t="str">
        <f>IF(Tabla1[Unidades_Defectuosas] &gt; Tabla1[Unidades_Producidas], "ERROR", "OK")</f>
        <v>OK</v>
      </c>
      <c r="K99" s="1">
        <f>Tabla1[Minutos_Paro] / Tabla1[Unidades_Producidas]</f>
        <v>0</v>
      </c>
      <c r="L99">
        <f>Tabla1[Unidades_Producidas] - Tabla1[Unidades_Defectuosas]</f>
        <v>197</v>
      </c>
      <c r="M99" s="3" t="str">
        <f>IF(Tabla1[Minutos_Paro]=0,"Nula",IF(Tabla1[Minutos_Paro]&lt;30,"Baja",IF(Tabla1[Minutos_Paro]&lt;60,"Media","Alta")))</f>
        <v>Nula</v>
      </c>
      <c r="N99" s="3">
        <f>250</f>
        <v>250</v>
      </c>
      <c r="O99" s="4">
        <f>Tabla1[Unidades_Defectuosas] / Tabla1[Unidades_Producidas]</f>
        <v>8.3720930232558138E-2</v>
      </c>
      <c r="P99" s="4">
        <f>Tabla1[Unidades_Buenas] / Tabla1[Unidades_Producidas]</f>
        <v>0.91627906976744189</v>
      </c>
      <c r="Q99" s="3">
        <f>IF(Tabla1[Tipo_Defecto_Principal]="Falla de material", 3, IF(Tabla1[Tipo_Defecto_Principal]="Dimensión fuera de especificación", 2, 1))</f>
        <v>2</v>
      </c>
    </row>
    <row r="100" spans="1:17" x14ac:dyDescent="0.3">
      <c r="A100" s="2">
        <v>45208</v>
      </c>
      <c r="B100" t="s">
        <v>8</v>
      </c>
      <c r="C100" t="s">
        <v>13</v>
      </c>
      <c r="D100">
        <v>190</v>
      </c>
      <c r="E100">
        <v>7</v>
      </c>
      <c r="F100" t="s">
        <v>16</v>
      </c>
      <c r="G100">
        <v>0</v>
      </c>
      <c r="H100" t="s">
        <v>26</v>
      </c>
      <c r="I100">
        <f>(480 - Tabla1[Minutos_Paro]) / 60</f>
        <v>8</v>
      </c>
      <c r="J100" t="str">
        <f>IF(Tabla1[Unidades_Defectuosas] &gt; Tabla1[Unidades_Producidas], "ERROR", "OK")</f>
        <v>OK</v>
      </c>
      <c r="K100" s="1">
        <f>Tabla1[Minutos_Paro] / Tabla1[Unidades_Producidas]</f>
        <v>0</v>
      </c>
      <c r="L100">
        <f>Tabla1[Unidades_Producidas] - Tabla1[Unidades_Defectuosas]</f>
        <v>183</v>
      </c>
      <c r="M100" s="3" t="str">
        <f>IF(Tabla1[Minutos_Paro]=0,"Nula",IF(Tabla1[Minutos_Paro]&lt;30,"Baja",IF(Tabla1[Minutos_Paro]&lt;60,"Media","Alta")))</f>
        <v>Nula</v>
      </c>
      <c r="N100" s="3">
        <f>250</f>
        <v>250</v>
      </c>
      <c r="O100" s="4">
        <f>Tabla1[Unidades_Defectuosas] / Tabla1[Unidades_Producidas]</f>
        <v>3.6842105263157891E-2</v>
      </c>
      <c r="P100" s="4">
        <f>Tabla1[Unidades_Buenas] / Tabla1[Unidades_Producidas]</f>
        <v>0.9631578947368421</v>
      </c>
      <c r="Q100" s="3">
        <f>IF(Tabla1[Tipo_Defecto_Principal]="Falla de material", 3, IF(Tabla1[Tipo_Defecto_Principal]="Dimensión fuera de especificación", 2, 1))</f>
        <v>1</v>
      </c>
    </row>
    <row r="101" spans="1:17" x14ac:dyDescent="0.3">
      <c r="A101" s="2">
        <v>45208</v>
      </c>
      <c r="B101" t="s">
        <v>8</v>
      </c>
      <c r="C101" t="s">
        <v>15</v>
      </c>
      <c r="D101">
        <v>239</v>
      </c>
      <c r="E101">
        <v>5</v>
      </c>
      <c r="F101" t="s">
        <v>14</v>
      </c>
      <c r="G101">
        <v>0</v>
      </c>
      <c r="H101" t="s">
        <v>26</v>
      </c>
      <c r="I101">
        <f>(480 - Tabla1[Minutos_Paro]) / 60</f>
        <v>8</v>
      </c>
      <c r="J101" t="str">
        <f>IF(Tabla1[Unidades_Defectuosas] &gt; Tabla1[Unidades_Producidas], "ERROR", "OK")</f>
        <v>OK</v>
      </c>
      <c r="K101" s="1">
        <f>Tabla1[Minutos_Paro] / Tabla1[Unidades_Producidas]</f>
        <v>0</v>
      </c>
      <c r="L101">
        <f>Tabla1[Unidades_Producidas] - Tabla1[Unidades_Defectuosas]</f>
        <v>234</v>
      </c>
      <c r="M101" s="3" t="str">
        <f>IF(Tabla1[Minutos_Paro]=0,"Nula",IF(Tabla1[Minutos_Paro]&lt;30,"Baja",IF(Tabla1[Minutos_Paro]&lt;60,"Media","Alta")))</f>
        <v>Nula</v>
      </c>
      <c r="N101" s="3">
        <f>250</f>
        <v>250</v>
      </c>
      <c r="O101" s="4">
        <f>Tabla1[Unidades_Defectuosas] / Tabla1[Unidades_Producidas]</f>
        <v>2.0920502092050208E-2</v>
      </c>
      <c r="P101" s="4">
        <f>Tabla1[Unidades_Buenas] / Tabla1[Unidades_Producidas]</f>
        <v>0.97907949790794979</v>
      </c>
      <c r="Q101" s="3">
        <f>IF(Tabla1[Tipo_Defecto_Principal]="Falla de material", 3, IF(Tabla1[Tipo_Defecto_Principal]="Dimensión fuera de especificación", 2, 1))</f>
        <v>3</v>
      </c>
    </row>
    <row r="102" spans="1:17" x14ac:dyDescent="0.3">
      <c r="A102" s="2">
        <v>45208</v>
      </c>
      <c r="B102" t="s">
        <v>17</v>
      </c>
      <c r="C102" t="s">
        <v>9</v>
      </c>
      <c r="D102">
        <v>210</v>
      </c>
      <c r="E102">
        <v>9</v>
      </c>
      <c r="F102" t="s">
        <v>16</v>
      </c>
      <c r="G102">
        <v>30</v>
      </c>
      <c r="H102" t="s">
        <v>24</v>
      </c>
      <c r="I102">
        <f>(480 - Tabla1[Minutos_Paro]) / 60</f>
        <v>7.5</v>
      </c>
      <c r="J102" t="str">
        <f>IF(Tabla1[Unidades_Defectuosas] &gt; Tabla1[Unidades_Producidas], "ERROR", "OK")</f>
        <v>OK</v>
      </c>
      <c r="K102" s="1">
        <f>Tabla1[Minutos_Paro] / Tabla1[Unidades_Producidas]</f>
        <v>0.14285714285714285</v>
      </c>
      <c r="L102">
        <f>Tabla1[Unidades_Producidas] - Tabla1[Unidades_Defectuosas]</f>
        <v>201</v>
      </c>
      <c r="M102" s="3" t="str">
        <f>IF(Tabla1[Minutos_Paro]=0,"Nula",IF(Tabla1[Minutos_Paro]&lt;30,"Baja",IF(Tabla1[Minutos_Paro]&lt;60,"Media","Alta")))</f>
        <v>Media</v>
      </c>
      <c r="N102" s="3">
        <f>250</f>
        <v>250</v>
      </c>
      <c r="O102" s="4">
        <f>Tabla1[Unidades_Defectuosas] / Tabla1[Unidades_Producidas]</f>
        <v>4.2857142857142858E-2</v>
      </c>
      <c r="P102" s="4">
        <f>Tabla1[Unidades_Buenas] / Tabla1[Unidades_Producidas]</f>
        <v>0.95714285714285718</v>
      </c>
      <c r="Q102" s="3">
        <f>IF(Tabla1[Tipo_Defecto_Principal]="Falla de material", 3, IF(Tabla1[Tipo_Defecto_Principal]="Dimensión fuera de especificación", 2, 1))</f>
        <v>1</v>
      </c>
    </row>
    <row r="103" spans="1:17" x14ac:dyDescent="0.3">
      <c r="A103" s="2">
        <v>45208</v>
      </c>
      <c r="B103" t="s">
        <v>17</v>
      </c>
      <c r="C103" t="s">
        <v>12</v>
      </c>
      <c r="D103">
        <v>219</v>
      </c>
      <c r="E103">
        <v>19</v>
      </c>
      <c r="F103" t="s">
        <v>16</v>
      </c>
      <c r="G103">
        <v>0</v>
      </c>
      <c r="H103" t="s">
        <v>26</v>
      </c>
      <c r="I103">
        <f>(480 - Tabla1[Minutos_Paro]) / 60</f>
        <v>8</v>
      </c>
      <c r="J103" t="str">
        <f>IF(Tabla1[Unidades_Defectuosas] &gt; Tabla1[Unidades_Producidas], "ERROR", "OK")</f>
        <v>OK</v>
      </c>
      <c r="K103" s="1">
        <f>Tabla1[Minutos_Paro] / Tabla1[Unidades_Producidas]</f>
        <v>0</v>
      </c>
      <c r="L103">
        <f>Tabla1[Unidades_Producidas] - Tabla1[Unidades_Defectuosas]</f>
        <v>200</v>
      </c>
      <c r="M103" s="3" t="str">
        <f>IF(Tabla1[Minutos_Paro]=0,"Nula",IF(Tabla1[Minutos_Paro]&lt;30,"Baja",IF(Tabla1[Minutos_Paro]&lt;60,"Media","Alta")))</f>
        <v>Nula</v>
      </c>
      <c r="N103" s="3">
        <f>250</f>
        <v>250</v>
      </c>
      <c r="O103" s="4">
        <f>Tabla1[Unidades_Defectuosas] / Tabla1[Unidades_Producidas]</f>
        <v>8.6757990867579904E-2</v>
      </c>
      <c r="P103" s="4">
        <f>Tabla1[Unidades_Buenas] / Tabla1[Unidades_Producidas]</f>
        <v>0.91324200913242004</v>
      </c>
      <c r="Q103" s="3">
        <f>IF(Tabla1[Tipo_Defecto_Principal]="Falla de material", 3, IF(Tabla1[Tipo_Defecto_Principal]="Dimensión fuera de especificación", 2, 1))</f>
        <v>1</v>
      </c>
    </row>
    <row r="104" spans="1:17" x14ac:dyDescent="0.3">
      <c r="A104" s="2">
        <v>45208</v>
      </c>
      <c r="B104" t="s">
        <v>17</v>
      </c>
      <c r="C104" t="s">
        <v>13</v>
      </c>
      <c r="D104">
        <v>231</v>
      </c>
      <c r="E104">
        <v>10</v>
      </c>
      <c r="F104" t="s">
        <v>10</v>
      </c>
      <c r="G104">
        <v>30</v>
      </c>
      <c r="H104" t="s">
        <v>21</v>
      </c>
      <c r="I104">
        <f>(480 - Tabla1[Minutos_Paro]) / 60</f>
        <v>7.5</v>
      </c>
      <c r="J104" t="str">
        <f>IF(Tabla1[Unidades_Defectuosas] &gt; Tabla1[Unidades_Producidas], "ERROR", "OK")</f>
        <v>OK</v>
      </c>
      <c r="K104" s="1">
        <f>Tabla1[Minutos_Paro] / Tabla1[Unidades_Producidas]</f>
        <v>0.12987012987012986</v>
      </c>
      <c r="L104">
        <f>Tabla1[Unidades_Producidas] - Tabla1[Unidades_Defectuosas]</f>
        <v>221</v>
      </c>
      <c r="M104" s="3" t="str">
        <f>IF(Tabla1[Minutos_Paro]=0,"Nula",IF(Tabla1[Minutos_Paro]&lt;30,"Baja",IF(Tabla1[Minutos_Paro]&lt;60,"Media","Alta")))</f>
        <v>Media</v>
      </c>
      <c r="N104" s="3">
        <f>250</f>
        <v>250</v>
      </c>
      <c r="O104" s="4">
        <f>Tabla1[Unidades_Defectuosas] / Tabla1[Unidades_Producidas]</f>
        <v>4.3290043290043288E-2</v>
      </c>
      <c r="P104" s="4">
        <f>Tabla1[Unidades_Buenas] / Tabla1[Unidades_Producidas]</f>
        <v>0.95670995670995673</v>
      </c>
      <c r="Q104" s="3">
        <f>IF(Tabla1[Tipo_Defecto_Principal]="Falla de material", 3, IF(Tabla1[Tipo_Defecto_Principal]="Dimensión fuera de especificación", 2, 1))</f>
        <v>2</v>
      </c>
    </row>
    <row r="105" spans="1:17" x14ac:dyDescent="0.3">
      <c r="A105" s="2">
        <v>45208</v>
      </c>
      <c r="B105" t="s">
        <v>17</v>
      </c>
      <c r="C105" t="s">
        <v>15</v>
      </c>
      <c r="D105">
        <v>231</v>
      </c>
      <c r="E105">
        <v>5</v>
      </c>
      <c r="F105" t="s">
        <v>16</v>
      </c>
      <c r="G105">
        <v>0</v>
      </c>
      <c r="H105" t="s">
        <v>26</v>
      </c>
      <c r="I105">
        <f>(480 - Tabla1[Minutos_Paro]) / 60</f>
        <v>8</v>
      </c>
      <c r="J105" t="str">
        <f>IF(Tabla1[Unidades_Defectuosas] &gt; Tabla1[Unidades_Producidas], "ERROR", "OK")</f>
        <v>OK</v>
      </c>
      <c r="K105" s="1">
        <f>Tabla1[Minutos_Paro] / Tabla1[Unidades_Producidas]</f>
        <v>0</v>
      </c>
      <c r="L105">
        <f>Tabla1[Unidades_Producidas] - Tabla1[Unidades_Defectuosas]</f>
        <v>226</v>
      </c>
      <c r="M105" s="3" t="str">
        <f>IF(Tabla1[Minutos_Paro]=0,"Nula",IF(Tabla1[Minutos_Paro]&lt;30,"Baja",IF(Tabla1[Minutos_Paro]&lt;60,"Media","Alta")))</f>
        <v>Nula</v>
      </c>
      <c r="N105" s="3">
        <f>250</f>
        <v>250</v>
      </c>
      <c r="O105" s="4">
        <f>Tabla1[Unidades_Defectuosas] / Tabla1[Unidades_Producidas]</f>
        <v>2.1645021645021644E-2</v>
      </c>
      <c r="P105" s="4">
        <f>Tabla1[Unidades_Buenas] / Tabla1[Unidades_Producidas]</f>
        <v>0.97835497835497831</v>
      </c>
      <c r="Q105" s="3">
        <f>IF(Tabla1[Tipo_Defecto_Principal]="Falla de material", 3, IF(Tabla1[Tipo_Defecto_Principal]="Dimensión fuera de especificación", 2, 1))</f>
        <v>1</v>
      </c>
    </row>
    <row r="106" spans="1:17" x14ac:dyDescent="0.3">
      <c r="A106" s="2">
        <v>45208</v>
      </c>
      <c r="B106" t="s">
        <v>19</v>
      </c>
      <c r="C106" t="s">
        <v>9</v>
      </c>
      <c r="D106">
        <v>228</v>
      </c>
      <c r="E106">
        <v>7</v>
      </c>
      <c r="F106" t="s">
        <v>16</v>
      </c>
      <c r="G106">
        <v>0</v>
      </c>
      <c r="H106" t="s">
        <v>26</v>
      </c>
      <c r="I106">
        <f>(480 - Tabla1[Minutos_Paro]) / 60</f>
        <v>8</v>
      </c>
      <c r="J106" t="str">
        <f>IF(Tabla1[Unidades_Defectuosas] &gt; Tabla1[Unidades_Producidas], "ERROR", "OK")</f>
        <v>OK</v>
      </c>
      <c r="K106" s="1">
        <f>Tabla1[Minutos_Paro] / Tabla1[Unidades_Producidas]</f>
        <v>0</v>
      </c>
      <c r="L106">
        <f>Tabla1[Unidades_Producidas] - Tabla1[Unidades_Defectuosas]</f>
        <v>221</v>
      </c>
      <c r="M106" s="3" t="str">
        <f>IF(Tabla1[Minutos_Paro]=0,"Nula",IF(Tabla1[Minutos_Paro]&lt;30,"Baja",IF(Tabla1[Minutos_Paro]&lt;60,"Media","Alta")))</f>
        <v>Nula</v>
      </c>
      <c r="N106" s="3">
        <f>250</f>
        <v>250</v>
      </c>
      <c r="O106" s="4">
        <f>Tabla1[Unidades_Defectuosas] / Tabla1[Unidades_Producidas]</f>
        <v>3.0701754385964911E-2</v>
      </c>
      <c r="P106" s="4">
        <f>Tabla1[Unidades_Buenas] / Tabla1[Unidades_Producidas]</f>
        <v>0.9692982456140351</v>
      </c>
      <c r="Q106" s="3">
        <f>IF(Tabla1[Tipo_Defecto_Principal]="Falla de material", 3, IF(Tabla1[Tipo_Defecto_Principal]="Dimensión fuera de especificación", 2, 1))</f>
        <v>1</v>
      </c>
    </row>
    <row r="107" spans="1:17" x14ac:dyDescent="0.3">
      <c r="A107" s="2">
        <v>45208</v>
      </c>
      <c r="B107" t="s">
        <v>19</v>
      </c>
      <c r="C107" t="s">
        <v>12</v>
      </c>
      <c r="D107">
        <v>241</v>
      </c>
      <c r="E107">
        <v>15</v>
      </c>
      <c r="F107" t="s">
        <v>20</v>
      </c>
      <c r="G107">
        <v>0</v>
      </c>
      <c r="H107" t="s">
        <v>26</v>
      </c>
      <c r="I107">
        <f>(480 - Tabla1[Minutos_Paro]) / 60</f>
        <v>8</v>
      </c>
      <c r="J107" t="str">
        <f>IF(Tabla1[Unidades_Defectuosas] &gt; Tabla1[Unidades_Producidas], "ERROR", "OK")</f>
        <v>OK</v>
      </c>
      <c r="K107" s="1">
        <f>Tabla1[Minutos_Paro] / Tabla1[Unidades_Producidas]</f>
        <v>0</v>
      </c>
      <c r="L107">
        <f>Tabla1[Unidades_Producidas] - Tabla1[Unidades_Defectuosas]</f>
        <v>226</v>
      </c>
      <c r="M107" s="3" t="str">
        <f>IF(Tabla1[Minutos_Paro]=0,"Nula",IF(Tabla1[Minutos_Paro]&lt;30,"Baja",IF(Tabla1[Minutos_Paro]&lt;60,"Media","Alta")))</f>
        <v>Nula</v>
      </c>
      <c r="N107" s="3">
        <f>250</f>
        <v>250</v>
      </c>
      <c r="O107" s="4">
        <f>Tabla1[Unidades_Defectuosas] / Tabla1[Unidades_Producidas]</f>
        <v>6.2240663900414939E-2</v>
      </c>
      <c r="P107" s="4">
        <f>Tabla1[Unidades_Buenas] / Tabla1[Unidades_Producidas]</f>
        <v>0.93775933609958506</v>
      </c>
      <c r="Q107" s="3">
        <f>IF(Tabla1[Tipo_Defecto_Principal]="Falla de material", 3, IF(Tabla1[Tipo_Defecto_Principal]="Dimensión fuera de especificación", 2, 1))</f>
        <v>1</v>
      </c>
    </row>
    <row r="108" spans="1:17" x14ac:dyDescent="0.3">
      <c r="A108" s="2">
        <v>45208</v>
      </c>
      <c r="B108" t="s">
        <v>19</v>
      </c>
      <c r="C108" t="s">
        <v>13</v>
      </c>
      <c r="D108">
        <v>209</v>
      </c>
      <c r="E108">
        <v>9</v>
      </c>
      <c r="F108" t="s">
        <v>18</v>
      </c>
      <c r="G108">
        <v>0</v>
      </c>
      <c r="H108" t="s">
        <v>26</v>
      </c>
      <c r="I108">
        <f>(480 - Tabla1[Minutos_Paro]) / 60</f>
        <v>8</v>
      </c>
      <c r="J108" t="str">
        <f>IF(Tabla1[Unidades_Defectuosas] &gt; Tabla1[Unidades_Producidas], "ERROR", "OK")</f>
        <v>OK</v>
      </c>
      <c r="K108" s="1">
        <f>Tabla1[Minutos_Paro] / Tabla1[Unidades_Producidas]</f>
        <v>0</v>
      </c>
      <c r="L108">
        <f>Tabla1[Unidades_Producidas] - Tabla1[Unidades_Defectuosas]</f>
        <v>200</v>
      </c>
      <c r="M108" s="3" t="str">
        <f>IF(Tabla1[Minutos_Paro]=0,"Nula",IF(Tabla1[Minutos_Paro]&lt;30,"Baja",IF(Tabla1[Minutos_Paro]&lt;60,"Media","Alta")))</f>
        <v>Nula</v>
      </c>
      <c r="N108" s="3">
        <f>250</f>
        <v>250</v>
      </c>
      <c r="O108" s="4">
        <f>Tabla1[Unidades_Defectuosas] / Tabla1[Unidades_Producidas]</f>
        <v>4.3062200956937802E-2</v>
      </c>
      <c r="P108" s="4">
        <f>Tabla1[Unidades_Buenas] / Tabla1[Unidades_Producidas]</f>
        <v>0.9569377990430622</v>
      </c>
      <c r="Q108" s="3">
        <f>IF(Tabla1[Tipo_Defecto_Principal]="Falla de material", 3, IF(Tabla1[Tipo_Defecto_Principal]="Dimensión fuera de especificación", 2, 1))</f>
        <v>1</v>
      </c>
    </row>
    <row r="109" spans="1:17" x14ac:dyDescent="0.3">
      <c r="A109" s="2">
        <v>45208</v>
      </c>
      <c r="B109" t="s">
        <v>19</v>
      </c>
      <c r="C109" t="s">
        <v>15</v>
      </c>
      <c r="D109">
        <v>234</v>
      </c>
      <c r="E109">
        <v>5</v>
      </c>
      <c r="F109" t="s">
        <v>18</v>
      </c>
      <c r="G109">
        <v>0</v>
      </c>
      <c r="H109" t="s">
        <v>26</v>
      </c>
      <c r="I109">
        <f>(480 - Tabla1[Minutos_Paro]) / 60</f>
        <v>8</v>
      </c>
      <c r="J109" t="str">
        <f>IF(Tabla1[Unidades_Defectuosas] &gt; Tabla1[Unidades_Producidas], "ERROR", "OK")</f>
        <v>OK</v>
      </c>
      <c r="K109" s="1">
        <f>Tabla1[Minutos_Paro] / Tabla1[Unidades_Producidas]</f>
        <v>0</v>
      </c>
      <c r="L109">
        <f>Tabla1[Unidades_Producidas] - Tabla1[Unidades_Defectuosas]</f>
        <v>229</v>
      </c>
      <c r="M109" s="3" t="str">
        <f>IF(Tabla1[Minutos_Paro]=0,"Nula",IF(Tabla1[Minutos_Paro]&lt;30,"Baja",IF(Tabla1[Minutos_Paro]&lt;60,"Media","Alta")))</f>
        <v>Nula</v>
      </c>
      <c r="N109" s="3">
        <f>250</f>
        <v>250</v>
      </c>
      <c r="O109" s="4">
        <f>Tabla1[Unidades_Defectuosas] / Tabla1[Unidades_Producidas]</f>
        <v>2.1367521367521368E-2</v>
      </c>
      <c r="P109" s="4">
        <f>Tabla1[Unidades_Buenas] / Tabla1[Unidades_Producidas]</f>
        <v>0.9786324786324786</v>
      </c>
      <c r="Q109" s="3">
        <f>IF(Tabla1[Tipo_Defecto_Principal]="Falla de material", 3, IF(Tabla1[Tipo_Defecto_Principal]="Dimensión fuera de especificación", 2, 1))</f>
        <v>1</v>
      </c>
    </row>
    <row r="110" spans="1:17" x14ac:dyDescent="0.3">
      <c r="A110" s="2">
        <v>45209</v>
      </c>
      <c r="B110" t="s">
        <v>8</v>
      </c>
      <c r="C110" t="s">
        <v>9</v>
      </c>
      <c r="D110">
        <v>229</v>
      </c>
      <c r="E110">
        <v>7</v>
      </c>
      <c r="F110" t="s">
        <v>14</v>
      </c>
      <c r="G110">
        <v>0</v>
      </c>
      <c r="H110" t="s">
        <v>26</v>
      </c>
      <c r="I110">
        <f>(480 - Tabla1[Minutos_Paro]) / 60</f>
        <v>8</v>
      </c>
      <c r="J110" t="str">
        <f>IF(Tabla1[Unidades_Defectuosas] &gt; Tabla1[Unidades_Producidas], "ERROR", "OK")</f>
        <v>OK</v>
      </c>
      <c r="K110" s="1">
        <f>Tabla1[Minutos_Paro] / Tabla1[Unidades_Producidas]</f>
        <v>0</v>
      </c>
      <c r="L110">
        <f>Tabla1[Unidades_Producidas] - Tabla1[Unidades_Defectuosas]</f>
        <v>222</v>
      </c>
      <c r="M110" s="3" t="str">
        <f>IF(Tabla1[Minutos_Paro]=0,"Nula",IF(Tabla1[Minutos_Paro]&lt;30,"Baja",IF(Tabla1[Minutos_Paro]&lt;60,"Media","Alta")))</f>
        <v>Nula</v>
      </c>
      <c r="N110" s="3">
        <f>250</f>
        <v>250</v>
      </c>
      <c r="O110" s="4">
        <f>Tabla1[Unidades_Defectuosas] / Tabla1[Unidades_Producidas]</f>
        <v>3.0567685589519649E-2</v>
      </c>
      <c r="P110" s="4">
        <f>Tabla1[Unidades_Buenas] / Tabla1[Unidades_Producidas]</f>
        <v>0.96943231441048039</v>
      </c>
      <c r="Q110" s="3">
        <f>IF(Tabla1[Tipo_Defecto_Principal]="Falla de material", 3, IF(Tabla1[Tipo_Defecto_Principal]="Dimensión fuera de especificación", 2, 1))</f>
        <v>3</v>
      </c>
    </row>
    <row r="111" spans="1:17" x14ac:dyDescent="0.3">
      <c r="A111" s="2">
        <v>45209</v>
      </c>
      <c r="B111" t="s">
        <v>8</v>
      </c>
      <c r="C111" t="s">
        <v>12</v>
      </c>
      <c r="D111">
        <v>230</v>
      </c>
      <c r="E111">
        <v>20</v>
      </c>
      <c r="F111" t="s">
        <v>14</v>
      </c>
      <c r="G111">
        <v>0</v>
      </c>
      <c r="H111" t="s">
        <v>26</v>
      </c>
      <c r="I111">
        <f>(480 - Tabla1[Minutos_Paro]) / 60</f>
        <v>8</v>
      </c>
      <c r="J111" t="str">
        <f>IF(Tabla1[Unidades_Defectuosas] &gt; Tabla1[Unidades_Producidas], "ERROR", "OK")</f>
        <v>OK</v>
      </c>
      <c r="K111" s="1">
        <f>Tabla1[Minutos_Paro] / Tabla1[Unidades_Producidas]</f>
        <v>0</v>
      </c>
      <c r="L111">
        <f>Tabla1[Unidades_Producidas] - Tabla1[Unidades_Defectuosas]</f>
        <v>210</v>
      </c>
      <c r="M111" s="3" t="str">
        <f>IF(Tabla1[Minutos_Paro]=0,"Nula",IF(Tabla1[Minutos_Paro]&lt;30,"Baja",IF(Tabla1[Minutos_Paro]&lt;60,"Media","Alta")))</f>
        <v>Nula</v>
      </c>
      <c r="N111" s="3">
        <f>250</f>
        <v>250</v>
      </c>
      <c r="O111" s="4">
        <f>Tabla1[Unidades_Defectuosas] / Tabla1[Unidades_Producidas]</f>
        <v>8.6956521739130432E-2</v>
      </c>
      <c r="P111" s="4">
        <f>Tabla1[Unidades_Buenas] / Tabla1[Unidades_Producidas]</f>
        <v>0.91304347826086951</v>
      </c>
      <c r="Q111" s="3">
        <f>IF(Tabla1[Tipo_Defecto_Principal]="Falla de material", 3, IF(Tabla1[Tipo_Defecto_Principal]="Dimensión fuera de especificación", 2, 1))</f>
        <v>3</v>
      </c>
    </row>
    <row r="112" spans="1:17" x14ac:dyDescent="0.3">
      <c r="A112" s="2">
        <v>45209</v>
      </c>
      <c r="B112" t="s">
        <v>8</v>
      </c>
      <c r="C112" t="s">
        <v>13</v>
      </c>
      <c r="D112">
        <v>211</v>
      </c>
      <c r="E112">
        <v>7</v>
      </c>
      <c r="F112" t="s">
        <v>18</v>
      </c>
      <c r="G112">
        <v>0</v>
      </c>
      <c r="H112" t="s">
        <v>26</v>
      </c>
      <c r="I112">
        <f>(480 - Tabla1[Minutos_Paro]) / 60</f>
        <v>8</v>
      </c>
      <c r="J112" t="str">
        <f>IF(Tabla1[Unidades_Defectuosas] &gt; Tabla1[Unidades_Producidas], "ERROR", "OK")</f>
        <v>OK</v>
      </c>
      <c r="K112" s="1">
        <f>Tabla1[Minutos_Paro] / Tabla1[Unidades_Producidas]</f>
        <v>0</v>
      </c>
      <c r="L112">
        <f>Tabla1[Unidades_Producidas] - Tabla1[Unidades_Defectuosas]</f>
        <v>204</v>
      </c>
      <c r="M112" s="3" t="str">
        <f>IF(Tabla1[Minutos_Paro]=0,"Nula",IF(Tabla1[Minutos_Paro]&lt;30,"Baja",IF(Tabla1[Minutos_Paro]&lt;60,"Media","Alta")))</f>
        <v>Nula</v>
      </c>
      <c r="N112" s="3">
        <f>250</f>
        <v>250</v>
      </c>
      <c r="O112" s="4">
        <f>Tabla1[Unidades_Defectuosas] / Tabla1[Unidades_Producidas]</f>
        <v>3.3175355450236969E-2</v>
      </c>
      <c r="P112" s="4">
        <f>Tabla1[Unidades_Buenas] / Tabla1[Unidades_Producidas]</f>
        <v>0.96682464454976302</v>
      </c>
      <c r="Q112" s="3">
        <f>IF(Tabla1[Tipo_Defecto_Principal]="Falla de material", 3, IF(Tabla1[Tipo_Defecto_Principal]="Dimensión fuera de especificación", 2, 1))</f>
        <v>1</v>
      </c>
    </row>
    <row r="113" spans="1:17" x14ac:dyDescent="0.3">
      <c r="A113" s="2">
        <v>45209</v>
      </c>
      <c r="B113" t="s">
        <v>8</v>
      </c>
      <c r="C113" t="s">
        <v>15</v>
      </c>
      <c r="D113">
        <v>202</v>
      </c>
      <c r="E113">
        <v>10</v>
      </c>
      <c r="F113" t="s">
        <v>14</v>
      </c>
      <c r="G113">
        <v>15</v>
      </c>
      <c r="H113" t="s">
        <v>25</v>
      </c>
      <c r="I113">
        <f>(480 - Tabla1[Minutos_Paro]) / 60</f>
        <v>7.75</v>
      </c>
      <c r="J113" t="str">
        <f>IF(Tabla1[Unidades_Defectuosas] &gt; Tabla1[Unidades_Producidas], "ERROR", "OK")</f>
        <v>OK</v>
      </c>
      <c r="K113" s="1">
        <f>Tabla1[Minutos_Paro] / Tabla1[Unidades_Producidas]</f>
        <v>7.4257425742574254E-2</v>
      </c>
      <c r="L113">
        <f>Tabla1[Unidades_Producidas] - Tabla1[Unidades_Defectuosas]</f>
        <v>192</v>
      </c>
      <c r="M113" s="3" t="str">
        <f>IF(Tabla1[Minutos_Paro]=0,"Nula",IF(Tabla1[Minutos_Paro]&lt;30,"Baja",IF(Tabla1[Minutos_Paro]&lt;60,"Media","Alta")))</f>
        <v>Baja</v>
      </c>
      <c r="N113" s="3">
        <f>250</f>
        <v>250</v>
      </c>
      <c r="O113" s="4">
        <f>Tabla1[Unidades_Defectuosas] / Tabla1[Unidades_Producidas]</f>
        <v>4.9504950495049507E-2</v>
      </c>
      <c r="P113" s="4">
        <f>Tabla1[Unidades_Buenas] / Tabla1[Unidades_Producidas]</f>
        <v>0.95049504950495045</v>
      </c>
      <c r="Q113" s="3">
        <f>IF(Tabla1[Tipo_Defecto_Principal]="Falla de material", 3, IF(Tabla1[Tipo_Defecto_Principal]="Dimensión fuera de especificación", 2, 1))</f>
        <v>3</v>
      </c>
    </row>
    <row r="114" spans="1:17" x14ac:dyDescent="0.3">
      <c r="A114" s="2">
        <v>45209</v>
      </c>
      <c r="B114" t="s">
        <v>17</v>
      </c>
      <c r="C114" t="s">
        <v>9</v>
      </c>
      <c r="D114">
        <v>217</v>
      </c>
      <c r="E114">
        <v>9</v>
      </c>
      <c r="F114" t="s">
        <v>14</v>
      </c>
      <c r="G114">
        <v>0</v>
      </c>
      <c r="H114" t="s">
        <v>26</v>
      </c>
      <c r="I114">
        <f>(480 - Tabla1[Minutos_Paro]) / 60</f>
        <v>8</v>
      </c>
      <c r="J114" t="str">
        <f>IF(Tabla1[Unidades_Defectuosas] &gt; Tabla1[Unidades_Producidas], "ERROR", "OK")</f>
        <v>OK</v>
      </c>
      <c r="K114" s="1">
        <f>Tabla1[Minutos_Paro] / Tabla1[Unidades_Producidas]</f>
        <v>0</v>
      </c>
      <c r="L114">
        <f>Tabla1[Unidades_Producidas] - Tabla1[Unidades_Defectuosas]</f>
        <v>208</v>
      </c>
      <c r="M114" s="3" t="str">
        <f>IF(Tabla1[Minutos_Paro]=0,"Nula",IF(Tabla1[Minutos_Paro]&lt;30,"Baja",IF(Tabla1[Minutos_Paro]&lt;60,"Media","Alta")))</f>
        <v>Nula</v>
      </c>
      <c r="N114" s="3">
        <f>250</f>
        <v>250</v>
      </c>
      <c r="O114" s="4">
        <f>Tabla1[Unidades_Defectuosas] / Tabla1[Unidades_Producidas]</f>
        <v>4.1474654377880185E-2</v>
      </c>
      <c r="P114" s="4">
        <f>Tabla1[Unidades_Buenas] / Tabla1[Unidades_Producidas]</f>
        <v>0.95852534562211977</v>
      </c>
      <c r="Q114" s="3">
        <f>IF(Tabla1[Tipo_Defecto_Principal]="Falla de material", 3, IF(Tabla1[Tipo_Defecto_Principal]="Dimensión fuera de especificación", 2, 1))</f>
        <v>3</v>
      </c>
    </row>
    <row r="115" spans="1:17" x14ac:dyDescent="0.3">
      <c r="A115" s="2">
        <v>45209</v>
      </c>
      <c r="B115" t="s">
        <v>17</v>
      </c>
      <c r="C115" t="s">
        <v>12</v>
      </c>
      <c r="D115">
        <v>193</v>
      </c>
      <c r="E115">
        <v>18</v>
      </c>
      <c r="F115" t="s">
        <v>10</v>
      </c>
      <c r="G115">
        <v>0</v>
      </c>
      <c r="H115" t="s">
        <v>26</v>
      </c>
      <c r="I115">
        <f>(480 - Tabla1[Minutos_Paro]) / 60</f>
        <v>8</v>
      </c>
      <c r="J115" t="str">
        <f>IF(Tabla1[Unidades_Defectuosas] &gt; Tabla1[Unidades_Producidas], "ERROR", "OK")</f>
        <v>OK</v>
      </c>
      <c r="K115" s="1">
        <f>Tabla1[Minutos_Paro] / Tabla1[Unidades_Producidas]</f>
        <v>0</v>
      </c>
      <c r="L115">
        <f>Tabla1[Unidades_Producidas] - Tabla1[Unidades_Defectuosas]</f>
        <v>175</v>
      </c>
      <c r="M115" s="3" t="str">
        <f>IF(Tabla1[Minutos_Paro]=0,"Nula",IF(Tabla1[Minutos_Paro]&lt;30,"Baja",IF(Tabla1[Minutos_Paro]&lt;60,"Media","Alta")))</f>
        <v>Nula</v>
      </c>
      <c r="N115" s="3">
        <f>250</f>
        <v>250</v>
      </c>
      <c r="O115" s="4">
        <f>Tabla1[Unidades_Defectuosas] / Tabla1[Unidades_Producidas]</f>
        <v>9.3264248704663211E-2</v>
      </c>
      <c r="P115" s="4">
        <f>Tabla1[Unidades_Buenas] / Tabla1[Unidades_Producidas]</f>
        <v>0.90673575129533679</v>
      </c>
      <c r="Q115" s="3">
        <f>IF(Tabla1[Tipo_Defecto_Principal]="Falla de material", 3, IF(Tabla1[Tipo_Defecto_Principal]="Dimensión fuera de especificación", 2, 1))</f>
        <v>2</v>
      </c>
    </row>
    <row r="116" spans="1:17" x14ac:dyDescent="0.3">
      <c r="A116" s="2">
        <v>45209</v>
      </c>
      <c r="B116" t="s">
        <v>17</v>
      </c>
      <c r="C116" t="s">
        <v>13</v>
      </c>
      <c r="D116">
        <v>201</v>
      </c>
      <c r="E116">
        <v>5</v>
      </c>
      <c r="F116" t="s">
        <v>16</v>
      </c>
      <c r="G116">
        <v>30</v>
      </c>
      <c r="H116" t="s">
        <v>25</v>
      </c>
      <c r="I116">
        <f>(480 - Tabla1[Minutos_Paro]) / 60</f>
        <v>7.5</v>
      </c>
      <c r="J116" t="str">
        <f>IF(Tabla1[Unidades_Defectuosas] &gt; Tabla1[Unidades_Producidas], "ERROR", "OK")</f>
        <v>OK</v>
      </c>
      <c r="K116" s="1">
        <f>Tabla1[Minutos_Paro] / Tabla1[Unidades_Producidas]</f>
        <v>0.14925373134328357</v>
      </c>
      <c r="L116">
        <f>Tabla1[Unidades_Producidas] - Tabla1[Unidades_Defectuosas]</f>
        <v>196</v>
      </c>
      <c r="M116" s="3" t="str">
        <f>IF(Tabla1[Minutos_Paro]=0,"Nula",IF(Tabla1[Minutos_Paro]&lt;30,"Baja",IF(Tabla1[Minutos_Paro]&lt;60,"Media","Alta")))</f>
        <v>Media</v>
      </c>
      <c r="N116" s="3">
        <f>250</f>
        <v>250</v>
      </c>
      <c r="O116" s="4">
        <f>Tabla1[Unidades_Defectuosas] / Tabla1[Unidades_Producidas]</f>
        <v>2.4875621890547265E-2</v>
      </c>
      <c r="P116" s="4">
        <f>Tabla1[Unidades_Buenas] / Tabla1[Unidades_Producidas]</f>
        <v>0.97512437810945274</v>
      </c>
      <c r="Q116" s="3">
        <f>IF(Tabla1[Tipo_Defecto_Principal]="Falla de material", 3, IF(Tabla1[Tipo_Defecto_Principal]="Dimensión fuera de especificación", 2, 1))</f>
        <v>1</v>
      </c>
    </row>
    <row r="117" spans="1:17" x14ac:dyDescent="0.3">
      <c r="A117" s="2">
        <v>45209</v>
      </c>
      <c r="B117" t="s">
        <v>17</v>
      </c>
      <c r="C117" t="s">
        <v>15</v>
      </c>
      <c r="D117">
        <v>221</v>
      </c>
      <c r="E117">
        <v>6</v>
      </c>
      <c r="F117" t="s">
        <v>18</v>
      </c>
      <c r="G117">
        <v>0</v>
      </c>
      <c r="H117" t="s">
        <v>26</v>
      </c>
      <c r="I117">
        <f>(480 - Tabla1[Minutos_Paro]) / 60</f>
        <v>8</v>
      </c>
      <c r="J117" t="str">
        <f>IF(Tabla1[Unidades_Defectuosas] &gt; Tabla1[Unidades_Producidas], "ERROR", "OK")</f>
        <v>OK</v>
      </c>
      <c r="K117" s="1">
        <f>Tabla1[Minutos_Paro] / Tabla1[Unidades_Producidas]</f>
        <v>0</v>
      </c>
      <c r="L117">
        <f>Tabla1[Unidades_Producidas] - Tabla1[Unidades_Defectuosas]</f>
        <v>215</v>
      </c>
      <c r="M117" s="3" t="str">
        <f>IF(Tabla1[Minutos_Paro]=0,"Nula",IF(Tabla1[Minutos_Paro]&lt;30,"Baja",IF(Tabla1[Minutos_Paro]&lt;60,"Media","Alta")))</f>
        <v>Nula</v>
      </c>
      <c r="N117" s="3">
        <f>250</f>
        <v>250</v>
      </c>
      <c r="O117" s="4">
        <f>Tabla1[Unidades_Defectuosas] / Tabla1[Unidades_Producidas]</f>
        <v>2.7149321266968326E-2</v>
      </c>
      <c r="P117" s="4">
        <f>Tabla1[Unidades_Buenas] / Tabla1[Unidades_Producidas]</f>
        <v>0.97285067873303166</v>
      </c>
      <c r="Q117" s="3">
        <f>IF(Tabla1[Tipo_Defecto_Principal]="Falla de material", 3, IF(Tabla1[Tipo_Defecto_Principal]="Dimensión fuera de especificación", 2, 1))</f>
        <v>1</v>
      </c>
    </row>
    <row r="118" spans="1:17" x14ac:dyDescent="0.3">
      <c r="A118" s="2">
        <v>45209</v>
      </c>
      <c r="B118" t="s">
        <v>19</v>
      </c>
      <c r="C118" t="s">
        <v>9</v>
      </c>
      <c r="D118">
        <v>236</v>
      </c>
      <c r="E118">
        <v>10</v>
      </c>
      <c r="F118" t="s">
        <v>16</v>
      </c>
      <c r="G118">
        <v>60</v>
      </c>
      <c r="H118" t="s">
        <v>21</v>
      </c>
      <c r="I118">
        <f>(480 - Tabla1[Minutos_Paro]) / 60</f>
        <v>7</v>
      </c>
      <c r="J118" t="str">
        <f>IF(Tabla1[Unidades_Defectuosas] &gt; Tabla1[Unidades_Producidas], "ERROR", "OK")</f>
        <v>OK</v>
      </c>
      <c r="K118" s="1">
        <f>Tabla1[Minutos_Paro] / Tabla1[Unidades_Producidas]</f>
        <v>0.25423728813559321</v>
      </c>
      <c r="L118">
        <f>Tabla1[Unidades_Producidas] - Tabla1[Unidades_Defectuosas]</f>
        <v>226</v>
      </c>
      <c r="M118" s="3" t="str">
        <f>IF(Tabla1[Minutos_Paro]=0,"Nula",IF(Tabla1[Minutos_Paro]&lt;30,"Baja",IF(Tabla1[Minutos_Paro]&lt;60,"Media","Alta")))</f>
        <v>Alta</v>
      </c>
      <c r="N118" s="3">
        <f>250</f>
        <v>250</v>
      </c>
      <c r="O118" s="4">
        <f>Tabla1[Unidades_Defectuosas] / Tabla1[Unidades_Producidas]</f>
        <v>4.2372881355932202E-2</v>
      </c>
      <c r="P118" s="4">
        <f>Tabla1[Unidades_Buenas] / Tabla1[Unidades_Producidas]</f>
        <v>0.9576271186440678</v>
      </c>
      <c r="Q118" s="3">
        <f>IF(Tabla1[Tipo_Defecto_Principal]="Falla de material", 3, IF(Tabla1[Tipo_Defecto_Principal]="Dimensión fuera de especificación", 2, 1))</f>
        <v>1</v>
      </c>
    </row>
    <row r="119" spans="1:17" x14ac:dyDescent="0.3">
      <c r="A119" s="2">
        <v>45209</v>
      </c>
      <c r="B119" t="s">
        <v>19</v>
      </c>
      <c r="C119" t="s">
        <v>12</v>
      </c>
      <c r="D119">
        <v>230</v>
      </c>
      <c r="E119">
        <v>18</v>
      </c>
      <c r="F119" t="s">
        <v>10</v>
      </c>
      <c r="G119">
        <v>0</v>
      </c>
      <c r="H119" t="s">
        <v>26</v>
      </c>
      <c r="I119">
        <f>(480 - Tabla1[Minutos_Paro]) / 60</f>
        <v>8</v>
      </c>
      <c r="J119" t="str">
        <f>IF(Tabla1[Unidades_Defectuosas] &gt; Tabla1[Unidades_Producidas], "ERROR", "OK")</f>
        <v>OK</v>
      </c>
      <c r="K119" s="1">
        <f>Tabla1[Minutos_Paro] / Tabla1[Unidades_Producidas]</f>
        <v>0</v>
      </c>
      <c r="L119">
        <f>Tabla1[Unidades_Producidas] - Tabla1[Unidades_Defectuosas]</f>
        <v>212</v>
      </c>
      <c r="M119" s="3" t="str">
        <f>IF(Tabla1[Minutos_Paro]=0,"Nula",IF(Tabla1[Minutos_Paro]&lt;30,"Baja",IF(Tabla1[Minutos_Paro]&lt;60,"Media","Alta")))</f>
        <v>Nula</v>
      </c>
      <c r="N119" s="3">
        <f>250</f>
        <v>250</v>
      </c>
      <c r="O119" s="4">
        <f>Tabla1[Unidades_Defectuosas] / Tabla1[Unidades_Producidas]</f>
        <v>7.8260869565217397E-2</v>
      </c>
      <c r="P119" s="4">
        <f>Tabla1[Unidades_Buenas] / Tabla1[Unidades_Producidas]</f>
        <v>0.92173913043478262</v>
      </c>
      <c r="Q119" s="3">
        <f>IF(Tabla1[Tipo_Defecto_Principal]="Falla de material", 3, IF(Tabla1[Tipo_Defecto_Principal]="Dimensión fuera de especificación", 2, 1))</f>
        <v>2</v>
      </c>
    </row>
    <row r="120" spans="1:17" x14ac:dyDescent="0.3">
      <c r="A120" s="2">
        <v>45209</v>
      </c>
      <c r="B120" t="s">
        <v>19</v>
      </c>
      <c r="C120" t="s">
        <v>13</v>
      </c>
      <c r="D120">
        <v>233</v>
      </c>
      <c r="E120">
        <v>6</v>
      </c>
      <c r="F120" t="s">
        <v>16</v>
      </c>
      <c r="G120">
        <v>0</v>
      </c>
      <c r="H120" t="s">
        <v>26</v>
      </c>
      <c r="I120">
        <f>(480 - Tabla1[Minutos_Paro]) / 60</f>
        <v>8</v>
      </c>
      <c r="J120" t="str">
        <f>IF(Tabla1[Unidades_Defectuosas] &gt; Tabla1[Unidades_Producidas], "ERROR", "OK")</f>
        <v>OK</v>
      </c>
      <c r="K120" s="1">
        <f>Tabla1[Minutos_Paro] / Tabla1[Unidades_Producidas]</f>
        <v>0</v>
      </c>
      <c r="L120">
        <f>Tabla1[Unidades_Producidas] - Tabla1[Unidades_Defectuosas]</f>
        <v>227</v>
      </c>
      <c r="M120" s="3" t="str">
        <f>IF(Tabla1[Minutos_Paro]=0,"Nula",IF(Tabla1[Minutos_Paro]&lt;30,"Baja",IF(Tabla1[Minutos_Paro]&lt;60,"Media","Alta")))</f>
        <v>Nula</v>
      </c>
      <c r="N120" s="3">
        <f>250</f>
        <v>250</v>
      </c>
      <c r="O120" s="4">
        <f>Tabla1[Unidades_Defectuosas] / Tabla1[Unidades_Producidas]</f>
        <v>2.575107296137339E-2</v>
      </c>
      <c r="P120" s="4">
        <f>Tabla1[Unidades_Buenas] / Tabla1[Unidades_Producidas]</f>
        <v>0.97424892703862664</v>
      </c>
      <c r="Q120" s="3">
        <f>IF(Tabla1[Tipo_Defecto_Principal]="Falla de material", 3, IF(Tabla1[Tipo_Defecto_Principal]="Dimensión fuera de especificación", 2, 1))</f>
        <v>1</v>
      </c>
    </row>
    <row r="121" spans="1:17" x14ac:dyDescent="0.3">
      <c r="A121" s="2">
        <v>45209</v>
      </c>
      <c r="B121" t="s">
        <v>19</v>
      </c>
      <c r="C121" t="s">
        <v>15</v>
      </c>
      <c r="D121">
        <v>241</v>
      </c>
      <c r="E121">
        <v>9</v>
      </c>
      <c r="F121" t="s">
        <v>10</v>
      </c>
      <c r="G121">
        <v>0</v>
      </c>
      <c r="H121" t="s">
        <v>26</v>
      </c>
      <c r="I121">
        <f>(480 - Tabla1[Minutos_Paro]) / 60</f>
        <v>8</v>
      </c>
      <c r="J121" t="str">
        <f>IF(Tabla1[Unidades_Defectuosas] &gt; Tabla1[Unidades_Producidas], "ERROR", "OK")</f>
        <v>OK</v>
      </c>
      <c r="K121" s="1">
        <f>Tabla1[Minutos_Paro] / Tabla1[Unidades_Producidas]</f>
        <v>0</v>
      </c>
      <c r="L121">
        <f>Tabla1[Unidades_Producidas] - Tabla1[Unidades_Defectuosas]</f>
        <v>232</v>
      </c>
      <c r="M121" s="3" t="str">
        <f>IF(Tabla1[Minutos_Paro]=0,"Nula",IF(Tabla1[Minutos_Paro]&lt;30,"Baja",IF(Tabla1[Minutos_Paro]&lt;60,"Media","Alta")))</f>
        <v>Nula</v>
      </c>
      <c r="N121" s="3">
        <f>250</f>
        <v>250</v>
      </c>
      <c r="O121" s="4">
        <f>Tabla1[Unidades_Defectuosas] / Tabla1[Unidades_Producidas]</f>
        <v>3.7344398340248962E-2</v>
      </c>
      <c r="P121" s="4">
        <f>Tabla1[Unidades_Buenas] / Tabla1[Unidades_Producidas]</f>
        <v>0.96265560165975106</v>
      </c>
      <c r="Q121" s="3">
        <f>IF(Tabla1[Tipo_Defecto_Principal]="Falla de material", 3, IF(Tabla1[Tipo_Defecto_Principal]="Dimensión fuera de especificación", 2, 1))</f>
        <v>2</v>
      </c>
    </row>
    <row r="122" spans="1:17" x14ac:dyDescent="0.3">
      <c r="A122" s="2">
        <v>45210</v>
      </c>
      <c r="B122" t="s">
        <v>8</v>
      </c>
      <c r="C122" t="s">
        <v>9</v>
      </c>
      <c r="D122">
        <v>223</v>
      </c>
      <c r="E122">
        <v>2</v>
      </c>
      <c r="F122" t="s">
        <v>10</v>
      </c>
      <c r="G122">
        <v>0</v>
      </c>
      <c r="H122" t="s">
        <v>26</v>
      </c>
      <c r="I122">
        <f>(480 - Tabla1[Minutos_Paro]) / 60</f>
        <v>8</v>
      </c>
      <c r="J122" t="str">
        <f>IF(Tabla1[Unidades_Defectuosas] &gt; Tabla1[Unidades_Producidas], "ERROR", "OK")</f>
        <v>OK</v>
      </c>
      <c r="K122" s="1">
        <f>Tabla1[Minutos_Paro] / Tabla1[Unidades_Producidas]</f>
        <v>0</v>
      </c>
      <c r="L122">
        <f>Tabla1[Unidades_Producidas] - Tabla1[Unidades_Defectuosas]</f>
        <v>221</v>
      </c>
      <c r="M122" s="3" t="str">
        <f>IF(Tabla1[Minutos_Paro]=0,"Nula",IF(Tabla1[Minutos_Paro]&lt;30,"Baja",IF(Tabla1[Minutos_Paro]&lt;60,"Media","Alta")))</f>
        <v>Nula</v>
      </c>
      <c r="N122" s="3">
        <f>250</f>
        <v>250</v>
      </c>
      <c r="O122" s="4">
        <f>Tabla1[Unidades_Defectuosas] / Tabla1[Unidades_Producidas]</f>
        <v>8.9686098654708519E-3</v>
      </c>
      <c r="P122" s="4">
        <f>Tabla1[Unidades_Buenas] / Tabla1[Unidades_Producidas]</f>
        <v>0.99103139013452912</v>
      </c>
      <c r="Q122" s="3">
        <f>IF(Tabla1[Tipo_Defecto_Principal]="Falla de material", 3, IF(Tabla1[Tipo_Defecto_Principal]="Dimensión fuera de especificación", 2, 1))</f>
        <v>2</v>
      </c>
    </row>
    <row r="123" spans="1:17" x14ac:dyDescent="0.3">
      <c r="A123" s="2">
        <v>45210</v>
      </c>
      <c r="B123" t="s">
        <v>8</v>
      </c>
      <c r="C123" t="s">
        <v>12</v>
      </c>
      <c r="D123">
        <v>238</v>
      </c>
      <c r="E123">
        <v>26</v>
      </c>
      <c r="F123" t="s">
        <v>10</v>
      </c>
      <c r="G123">
        <v>60</v>
      </c>
      <c r="H123" t="s">
        <v>21</v>
      </c>
      <c r="I123">
        <f>(480 - Tabla1[Minutos_Paro]) / 60</f>
        <v>7</v>
      </c>
      <c r="J123" t="str">
        <f>IF(Tabla1[Unidades_Defectuosas] &gt; Tabla1[Unidades_Producidas], "ERROR", "OK")</f>
        <v>OK</v>
      </c>
      <c r="K123" s="1">
        <f>Tabla1[Minutos_Paro] / Tabla1[Unidades_Producidas]</f>
        <v>0.25210084033613445</v>
      </c>
      <c r="L123">
        <f>Tabla1[Unidades_Producidas] - Tabla1[Unidades_Defectuosas]</f>
        <v>212</v>
      </c>
      <c r="M123" s="3" t="str">
        <f>IF(Tabla1[Minutos_Paro]=0,"Nula",IF(Tabla1[Minutos_Paro]&lt;30,"Baja",IF(Tabla1[Minutos_Paro]&lt;60,"Media","Alta")))</f>
        <v>Alta</v>
      </c>
      <c r="N123" s="3">
        <f>250</f>
        <v>250</v>
      </c>
      <c r="O123" s="4">
        <f>Tabla1[Unidades_Defectuosas] / Tabla1[Unidades_Producidas]</f>
        <v>0.1092436974789916</v>
      </c>
      <c r="P123" s="4">
        <f>Tabla1[Unidades_Buenas] / Tabla1[Unidades_Producidas]</f>
        <v>0.89075630252100846</v>
      </c>
      <c r="Q123" s="3">
        <f>IF(Tabla1[Tipo_Defecto_Principal]="Falla de material", 3, IF(Tabla1[Tipo_Defecto_Principal]="Dimensión fuera de especificación", 2, 1))</f>
        <v>2</v>
      </c>
    </row>
    <row r="124" spans="1:17" x14ac:dyDescent="0.3">
      <c r="A124" s="2">
        <v>45210</v>
      </c>
      <c r="B124" t="s">
        <v>8</v>
      </c>
      <c r="C124" t="s">
        <v>13</v>
      </c>
      <c r="D124">
        <v>226</v>
      </c>
      <c r="E124">
        <v>11</v>
      </c>
      <c r="F124" t="s">
        <v>14</v>
      </c>
      <c r="G124">
        <v>0</v>
      </c>
      <c r="H124" t="s">
        <v>26</v>
      </c>
      <c r="I124">
        <f>(480 - Tabla1[Minutos_Paro]) / 60</f>
        <v>8</v>
      </c>
      <c r="J124" t="str">
        <f>IF(Tabla1[Unidades_Defectuosas] &gt; Tabla1[Unidades_Producidas], "ERROR", "OK")</f>
        <v>OK</v>
      </c>
      <c r="K124" s="1">
        <f>Tabla1[Minutos_Paro] / Tabla1[Unidades_Producidas]</f>
        <v>0</v>
      </c>
      <c r="L124">
        <f>Tabla1[Unidades_Producidas] - Tabla1[Unidades_Defectuosas]</f>
        <v>215</v>
      </c>
      <c r="M124" s="3" t="str">
        <f>IF(Tabla1[Minutos_Paro]=0,"Nula",IF(Tabla1[Minutos_Paro]&lt;30,"Baja",IF(Tabla1[Minutos_Paro]&lt;60,"Media","Alta")))</f>
        <v>Nula</v>
      </c>
      <c r="N124" s="3">
        <f>250</f>
        <v>250</v>
      </c>
      <c r="O124" s="4">
        <f>Tabla1[Unidades_Defectuosas] / Tabla1[Unidades_Producidas]</f>
        <v>4.8672566371681415E-2</v>
      </c>
      <c r="P124" s="4">
        <f>Tabla1[Unidades_Buenas] / Tabla1[Unidades_Producidas]</f>
        <v>0.95132743362831862</v>
      </c>
      <c r="Q124" s="3">
        <f>IF(Tabla1[Tipo_Defecto_Principal]="Falla de material", 3, IF(Tabla1[Tipo_Defecto_Principal]="Dimensión fuera de especificación", 2, 1))</f>
        <v>3</v>
      </c>
    </row>
    <row r="125" spans="1:17" x14ac:dyDescent="0.3">
      <c r="A125" s="2">
        <v>45210</v>
      </c>
      <c r="B125" t="s">
        <v>8</v>
      </c>
      <c r="C125" t="s">
        <v>15</v>
      </c>
      <c r="D125">
        <v>211</v>
      </c>
      <c r="E125">
        <v>6</v>
      </c>
      <c r="F125" t="s">
        <v>10</v>
      </c>
      <c r="G125">
        <v>0</v>
      </c>
      <c r="H125" t="s">
        <v>26</v>
      </c>
      <c r="I125">
        <f>(480 - Tabla1[Minutos_Paro]) / 60</f>
        <v>8</v>
      </c>
      <c r="J125" t="str">
        <f>IF(Tabla1[Unidades_Defectuosas] &gt; Tabla1[Unidades_Producidas], "ERROR", "OK")</f>
        <v>OK</v>
      </c>
      <c r="K125" s="1">
        <f>Tabla1[Minutos_Paro] / Tabla1[Unidades_Producidas]</f>
        <v>0</v>
      </c>
      <c r="L125">
        <f>Tabla1[Unidades_Producidas] - Tabla1[Unidades_Defectuosas]</f>
        <v>205</v>
      </c>
      <c r="M125" s="3" t="str">
        <f>IF(Tabla1[Minutos_Paro]=0,"Nula",IF(Tabla1[Minutos_Paro]&lt;30,"Baja",IF(Tabla1[Minutos_Paro]&lt;60,"Media","Alta")))</f>
        <v>Nula</v>
      </c>
      <c r="N125" s="3">
        <f>250</f>
        <v>250</v>
      </c>
      <c r="O125" s="4">
        <f>Tabla1[Unidades_Defectuosas] / Tabla1[Unidades_Producidas]</f>
        <v>2.843601895734597E-2</v>
      </c>
      <c r="P125" s="4">
        <f>Tabla1[Unidades_Buenas] / Tabla1[Unidades_Producidas]</f>
        <v>0.97156398104265407</v>
      </c>
      <c r="Q125" s="3">
        <f>IF(Tabla1[Tipo_Defecto_Principal]="Falla de material", 3, IF(Tabla1[Tipo_Defecto_Principal]="Dimensión fuera de especificación", 2, 1))</f>
        <v>2</v>
      </c>
    </row>
    <row r="126" spans="1:17" x14ac:dyDescent="0.3">
      <c r="A126" s="2">
        <v>45210</v>
      </c>
      <c r="B126" t="s">
        <v>17</v>
      </c>
      <c r="C126" t="s">
        <v>9</v>
      </c>
      <c r="D126">
        <v>227</v>
      </c>
      <c r="E126">
        <v>5</v>
      </c>
      <c r="F126" t="s">
        <v>16</v>
      </c>
      <c r="G126">
        <v>0</v>
      </c>
      <c r="H126" t="s">
        <v>26</v>
      </c>
      <c r="I126">
        <f>(480 - Tabla1[Minutos_Paro]) / 60</f>
        <v>8</v>
      </c>
      <c r="J126" t="str">
        <f>IF(Tabla1[Unidades_Defectuosas] &gt; Tabla1[Unidades_Producidas], "ERROR", "OK")</f>
        <v>OK</v>
      </c>
      <c r="K126" s="1">
        <f>Tabla1[Minutos_Paro] / Tabla1[Unidades_Producidas]</f>
        <v>0</v>
      </c>
      <c r="L126">
        <f>Tabla1[Unidades_Producidas] - Tabla1[Unidades_Defectuosas]</f>
        <v>222</v>
      </c>
      <c r="M126" s="3" t="str">
        <f>IF(Tabla1[Minutos_Paro]=0,"Nula",IF(Tabla1[Minutos_Paro]&lt;30,"Baja",IF(Tabla1[Minutos_Paro]&lt;60,"Media","Alta")))</f>
        <v>Nula</v>
      </c>
      <c r="N126" s="3">
        <f>250</f>
        <v>250</v>
      </c>
      <c r="O126" s="4">
        <f>Tabla1[Unidades_Defectuosas] / Tabla1[Unidades_Producidas]</f>
        <v>2.2026431718061675E-2</v>
      </c>
      <c r="P126" s="4">
        <f>Tabla1[Unidades_Buenas] / Tabla1[Unidades_Producidas]</f>
        <v>0.97797356828193838</v>
      </c>
      <c r="Q126" s="3">
        <f>IF(Tabla1[Tipo_Defecto_Principal]="Falla de material", 3, IF(Tabla1[Tipo_Defecto_Principal]="Dimensión fuera de especificación", 2, 1))</f>
        <v>1</v>
      </c>
    </row>
    <row r="127" spans="1:17" x14ac:dyDescent="0.3">
      <c r="A127" s="2">
        <v>45210</v>
      </c>
      <c r="B127" t="s">
        <v>17</v>
      </c>
      <c r="C127" t="s">
        <v>12</v>
      </c>
      <c r="D127">
        <v>196</v>
      </c>
      <c r="E127">
        <v>17</v>
      </c>
      <c r="F127" t="s">
        <v>10</v>
      </c>
      <c r="G127">
        <v>0</v>
      </c>
      <c r="H127" t="s">
        <v>26</v>
      </c>
      <c r="I127">
        <f>(480 - Tabla1[Minutos_Paro]) / 60</f>
        <v>8</v>
      </c>
      <c r="J127" t="str">
        <f>IF(Tabla1[Unidades_Defectuosas] &gt; Tabla1[Unidades_Producidas], "ERROR", "OK")</f>
        <v>OK</v>
      </c>
      <c r="K127" s="1">
        <f>Tabla1[Minutos_Paro] / Tabla1[Unidades_Producidas]</f>
        <v>0</v>
      </c>
      <c r="L127">
        <f>Tabla1[Unidades_Producidas] - Tabla1[Unidades_Defectuosas]</f>
        <v>179</v>
      </c>
      <c r="M127" s="3" t="str">
        <f>IF(Tabla1[Minutos_Paro]=0,"Nula",IF(Tabla1[Minutos_Paro]&lt;30,"Baja",IF(Tabla1[Minutos_Paro]&lt;60,"Media","Alta")))</f>
        <v>Nula</v>
      </c>
      <c r="N127" s="3">
        <f>250</f>
        <v>250</v>
      </c>
      <c r="O127" s="4">
        <f>Tabla1[Unidades_Defectuosas] / Tabla1[Unidades_Producidas]</f>
        <v>8.673469387755102E-2</v>
      </c>
      <c r="P127" s="4">
        <f>Tabla1[Unidades_Buenas] / Tabla1[Unidades_Producidas]</f>
        <v>0.91326530612244894</v>
      </c>
      <c r="Q127" s="3">
        <f>IF(Tabla1[Tipo_Defecto_Principal]="Falla de material", 3, IF(Tabla1[Tipo_Defecto_Principal]="Dimensión fuera de especificación", 2, 1))</f>
        <v>2</v>
      </c>
    </row>
    <row r="128" spans="1:17" x14ac:dyDescent="0.3">
      <c r="A128" s="2">
        <v>45210</v>
      </c>
      <c r="B128" t="s">
        <v>17</v>
      </c>
      <c r="C128" t="s">
        <v>13</v>
      </c>
      <c r="D128">
        <v>224</v>
      </c>
      <c r="E128">
        <v>4</v>
      </c>
      <c r="F128" t="s">
        <v>14</v>
      </c>
      <c r="G128">
        <v>0</v>
      </c>
      <c r="H128" t="s">
        <v>26</v>
      </c>
      <c r="I128">
        <f>(480 - Tabla1[Minutos_Paro]) / 60</f>
        <v>8</v>
      </c>
      <c r="J128" t="str">
        <f>IF(Tabla1[Unidades_Defectuosas] &gt; Tabla1[Unidades_Producidas], "ERROR", "OK")</f>
        <v>OK</v>
      </c>
      <c r="K128" s="1">
        <f>Tabla1[Minutos_Paro] / Tabla1[Unidades_Producidas]</f>
        <v>0</v>
      </c>
      <c r="L128">
        <f>Tabla1[Unidades_Producidas] - Tabla1[Unidades_Defectuosas]</f>
        <v>220</v>
      </c>
      <c r="M128" s="3" t="str">
        <f>IF(Tabla1[Minutos_Paro]=0,"Nula",IF(Tabla1[Minutos_Paro]&lt;30,"Baja",IF(Tabla1[Minutos_Paro]&lt;60,"Media","Alta")))</f>
        <v>Nula</v>
      </c>
      <c r="N128" s="3">
        <f>250</f>
        <v>250</v>
      </c>
      <c r="O128" s="4">
        <f>Tabla1[Unidades_Defectuosas] / Tabla1[Unidades_Producidas]</f>
        <v>1.7857142857142856E-2</v>
      </c>
      <c r="P128" s="4">
        <f>Tabla1[Unidades_Buenas] / Tabla1[Unidades_Producidas]</f>
        <v>0.9821428571428571</v>
      </c>
      <c r="Q128" s="3">
        <f>IF(Tabla1[Tipo_Defecto_Principal]="Falla de material", 3, IF(Tabla1[Tipo_Defecto_Principal]="Dimensión fuera de especificación", 2, 1))</f>
        <v>3</v>
      </c>
    </row>
    <row r="129" spans="1:17" x14ac:dyDescent="0.3">
      <c r="A129" s="2">
        <v>45210</v>
      </c>
      <c r="B129" t="s">
        <v>17</v>
      </c>
      <c r="C129" t="s">
        <v>15</v>
      </c>
      <c r="D129">
        <v>183</v>
      </c>
      <c r="E129">
        <v>6</v>
      </c>
      <c r="F129" t="s">
        <v>16</v>
      </c>
      <c r="G129">
        <v>15</v>
      </c>
      <c r="H129" t="s">
        <v>24</v>
      </c>
      <c r="I129">
        <f>(480 - Tabla1[Minutos_Paro]) / 60</f>
        <v>7.75</v>
      </c>
      <c r="J129" t="str">
        <f>IF(Tabla1[Unidades_Defectuosas] &gt; Tabla1[Unidades_Producidas], "ERROR", "OK")</f>
        <v>OK</v>
      </c>
      <c r="K129" s="1">
        <f>Tabla1[Minutos_Paro] / Tabla1[Unidades_Producidas]</f>
        <v>8.1967213114754092E-2</v>
      </c>
      <c r="L129">
        <f>Tabla1[Unidades_Producidas] - Tabla1[Unidades_Defectuosas]</f>
        <v>177</v>
      </c>
      <c r="M129" s="3" t="str">
        <f>IF(Tabla1[Minutos_Paro]=0,"Nula",IF(Tabla1[Minutos_Paro]&lt;30,"Baja",IF(Tabla1[Minutos_Paro]&lt;60,"Media","Alta")))</f>
        <v>Baja</v>
      </c>
      <c r="N129" s="3">
        <f>250</f>
        <v>250</v>
      </c>
      <c r="O129" s="4">
        <f>Tabla1[Unidades_Defectuosas] / Tabla1[Unidades_Producidas]</f>
        <v>3.2786885245901641E-2</v>
      </c>
      <c r="P129" s="4">
        <f>Tabla1[Unidades_Buenas] / Tabla1[Unidades_Producidas]</f>
        <v>0.96721311475409832</v>
      </c>
      <c r="Q129" s="3">
        <f>IF(Tabla1[Tipo_Defecto_Principal]="Falla de material", 3, IF(Tabla1[Tipo_Defecto_Principal]="Dimensión fuera de especificación", 2, 1))</f>
        <v>1</v>
      </c>
    </row>
    <row r="130" spans="1:17" x14ac:dyDescent="0.3">
      <c r="A130" s="2">
        <v>45210</v>
      </c>
      <c r="B130" t="s">
        <v>19</v>
      </c>
      <c r="C130" t="s">
        <v>9</v>
      </c>
      <c r="D130">
        <v>192</v>
      </c>
      <c r="E130">
        <v>13</v>
      </c>
      <c r="F130" t="s">
        <v>20</v>
      </c>
      <c r="G130">
        <v>0</v>
      </c>
      <c r="H130" t="s">
        <v>26</v>
      </c>
      <c r="I130">
        <f>(480 - Tabla1[Minutos_Paro]) / 60</f>
        <v>8</v>
      </c>
      <c r="J130" t="str">
        <f>IF(Tabla1[Unidades_Defectuosas] &gt; Tabla1[Unidades_Producidas], "ERROR", "OK")</f>
        <v>OK</v>
      </c>
      <c r="K130" s="1">
        <f>Tabla1[Minutos_Paro] / Tabla1[Unidades_Producidas]</f>
        <v>0</v>
      </c>
      <c r="L130">
        <f>Tabla1[Unidades_Producidas] - Tabla1[Unidades_Defectuosas]</f>
        <v>179</v>
      </c>
      <c r="M130" s="3" t="str">
        <f>IF(Tabla1[Minutos_Paro]=0,"Nula",IF(Tabla1[Minutos_Paro]&lt;30,"Baja",IF(Tabla1[Minutos_Paro]&lt;60,"Media","Alta")))</f>
        <v>Nula</v>
      </c>
      <c r="N130" s="3">
        <f>250</f>
        <v>250</v>
      </c>
      <c r="O130" s="4">
        <f>Tabla1[Unidades_Defectuosas] / Tabla1[Unidades_Producidas]</f>
        <v>6.7708333333333329E-2</v>
      </c>
      <c r="P130" s="4">
        <f>Tabla1[Unidades_Buenas] / Tabla1[Unidades_Producidas]</f>
        <v>0.93229166666666663</v>
      </c>
      <c r="Q130" s="3">
        <f>IF(Tabla1[Tipo_Defecto_Principal]="Falla de material", 3, IF(Tabla1[Tipo_Defecto_Principal]="Dimensión fuera de especificación", 2, 1))</f>
        <v>1</v>
      </c>
    </row>
    <row r="131" spans="1:17" x14ac:dyDescent="0.3">
      <c r="A131" s="2">
        <v>45210</v>
      </c>
      <c r="B131" t="s">
        <v>19</v>
      </c>
      <c r="C131" t="s">
        <v>12</v>
      </c>
      <c r="D131">
        <v>228</v>
      </c>
      <c r="E131">
        <v>12</v>
      </c>
      <c r="F131" t="s">
        <v>10</v>
      </c>
      <c r="G131">
        <v>0</v>
      </c>
      <c r="H131" t="s">
        <v>26</v>
      </c>
      <c r="I131">
        <f>(480 - Tabla1[Minutos_Paro]) / 60</f>
        <v>8</v>
      </c>
      <c r="J131" t="str">
        <f>IF(Tabla1[Unidades_Defectuosas] &gt; Tabla1[Unidades_Producidas], "ERROR", "OK")</f>
        <v>OK</v>
      </c>
      <c r="K131" s="1">
        <f>Tabla1[Minutos_Paro] / Tabla1[Unidades_Producidas]</f>
        <v>0</v>
      </c>
      <c r="L131">
        <f>Tabla1[Unidades_Producidas] - Tabla1[Unidades_Defectuosas]</f>
        <v>216</v>
      </c>
      <c r="M131" s="3" t="str">
        <f>IF(Tabla1[Minutos_Paro]=0,"Nula",IF(Tabla1[Minutos_Paro]&lt;30,"Baja",IF(Tabla1[Minutos_Paro]&lt;60,"Media","Alta")))</f>
        <v>Nula</v>
      </c>
      <c r="N131" s="3">
        <f>250</f>
        <v>250</v>
      </c>
      <c r="O131" s="4">
        <f>Tabla1[Unidades_Defectuosas] / Tabla1[Unidades_Producidas]</f>
        <v>5.2631578947368418E-2</v>
      </c>
      <c r="P131" s="4">
        <f>Tabla1[Unidades_Buenas] / Tabla1[Unidades_Producidas]</f>
        <v>0.94736842105263153</v>
      </c>
      <c r="Q131" s="3">
        <f>IF(Tabla1[Tipo_Defecto_Principal]="Falla de material", 3, IF(Tabla1[Tipo_Defecto_Principal]="Dimensión fuera de especificación", 2, 1))</f>
        <v>2</v>
      </c>
    </row>
    <row r="132" spans="1:17" x14ac:dyDescent="0.3">
      <c r="A132" s="2">
        <v>45210</v>
      </c>
      <c r="B132" t="s">
        <v>19</v>
      </c>
      <c r="C132" t="s">
        <v>13</v>
      </c>
      <c r="D132">
        <v>247</v>
      </c>
      <c r="E132">
        <v>5</v>
      </c>
      <c r="F132" t="s">
        <v>14</v>
      </c>
      <c r="G132">
        <v>0</v>
      </c>
      <c r="H132" t="s">
        <v>26</v>
      </c>
      <c r="I132">
        <f>(480 - Tabla1[Minutos_Paro]) / 60</f>
        <v>8</v>
      </c>
      <c r="J132" t="str">
        <f>IF(Tabla1[Unidades_Defectuosas] &gt; Tabla1[Unidades_Producidas], "ERROR", "OK")</f>
        <v>OK</v>
      </c>
      <c r="K132" s="1">
        <f>Tabla1[Minutos_Paro] / Tabla1[Unidades_Producidas]</f>
        <v>0</v>
      </c>
      <c r="L132">
        <f>Tabla1[Unidades_Producidas] - Tabla1[Unidades_Defectuosas]</f>
        <v>242</v>
      </c>
      <c r="M132" s="3" t="str">
        <f>IF(Tabla1[Minutos_Paro]=0,"Nula",IF(Tabla1[Minutos_Paro]&lt;30,"Baja",IF(Tabla1[Minutos_Paro]&lt;60,"Media","Alta")))</f>
        <v>Nula</v>
      </c>
      <c r="N132" s="3">
        <f>250</f>
        <v>250</v>
      </c>
      <c r="O132" s="4">
        <f>Tabla1[Unidades_Defectuosas] / Tabla1[Unidades_Producidas]</f>
        <v>2.0242914979757085E-2</v>
      </c>
      <c r="P132" s="4">
        <f>Tabla1[Unidades_Buenas] / Tabla1[Unidades_Producidas]</f>
        <v>0.97975708502024295</v>
      </c>
      <c r="Q132" s="3">
        <f>IF(Tabla1[Tipo_Defecto_Principal]="Falla de material", 3, IF(Tabla1[Tipo_Defecto_Principal]="Dimensión fuera de especificación", 2, 1))</f>
        <v>3</v>
      </c>
    </row>
    <row r="133" spans="1:17" x14ac:dyDescent="0.3">
      <c r="A133" s="2">
        <v>45210</v>
      </c>
      <c r="B133" t="s">
        <v>19</v>
      </c>
      <c r="C133" t="s">
        <v>15</v>
      </c>
      <c r="D133">
        <v>247</v>
      </c>
      <c r="E133">
        <v>9</v>
      </c>
      <c r="F133" t="s">
        <v>16</v>
      </c>
      <c r="G133">
        <v>120</v>
      </c>
      <c r="H133" t="s">
        <v>24</v>
      </c>
      <c r="I133">
        <f>(480 - Tabla1[Minutos_Paro]) / 60</f>
        <v>6</v>
      </c>
      <c r="J133" t="str">
        <f>IF(Tabla1[Unidades_Defectuosas] &gt; Tabla1[Unidades_Producidas], "ERROR", "OK")</f>
        <v>OK</v>
      </c>
      <c r="K133" s="1">
        <f>Tabla1[Minutos_Paro] / Tabla1[Unidades_Producidas]</f>
        <v>0.48582995951417002</v>
      </c>
      <c r="L133">
        <f>Tabla1[Unidades_Producidas] - Tabla1[Unidades_Defectuosas]</f>
        <v>238</v>
      </c>
      <c r="M133" s="3" t="str">
        <f>IF(Tabla1[Minutos_Paro]=0,"Nula",IF(Tabla1[Minutos_Paro]&lt;30,"Baja",IF(Tabla1[Minutos_Paro]&lt;60,"Media","Alta")))</f>
        <v>Alta</v>
      </c>
      <c r="N133" s="3">
        <f>250</f>
        <v>250</v>
      </c>
      <c r="O133" s="4">
        <f>Tabla1[Unidades_Defectuosas] / Tabla1[Unidades_Producidas]</f>
        <v>3.643724696356275E-2</v>
      </c>
      <c r="P133" s="4">
        <f>Tabla1[Unidades_Buenas] / Tabla1[Unidades_Producidas]</f>
        <v>0.96356275303643724</v>
      </c>
      <c r="Q133" s="3">
        <f>IF(Tabla1[Tipo_Defecto_Principal]="Falla de material", 3, IF(Tabla1[Tipo_Defecto_Principal]="Dimensión fuera de especificación", 2, 1))</f>
        <v>1</v>
      </c>
    </row>
    <row r="134" spans="1:17" x14ac:dyDescent="0.3">
      <c r="A134" s="2">
        <v>45211</v>
      </c>
      <c r="B134" t="s">
        <v>8</v>
      </c>
      <c r="C134" t="s">
        <v>9</v>
      </c>
      <c r="D134">
        <v>199</v>
      </c>
      <c r="E134">
        <v>4</v>
      </c>
      <c r="F134" t="s">
        <v>16</v>
      </c>
      <c r="G134">
        <v>0</v>
      </c>
      <c r="H134" t="s">
        <v>26</v>
      </c>
      <c r="I134">
        <f>(480 - Tabla1[Minutos_Paro]) / 60</f>
        <v>8</v>
      </c>
      <c r="J134" t="str">
        <f>IF(Tabla1[Unidades_Defectuosas] &gt; Tabla1[Unidades_Producidas], "ERROR", "OK")</f>
        <v>OK</v>
      </c>
      <c r="K134" s="1">
        <f>Tabla1[Minutos_Paro] / Tabla1[Unidades_Producidas]</f>
        <v>0</v>
      </c>
      <c r="L134">
        <f>Tabla1[Unidades_Producidas] - Tabla1[Unidades_Defectuosas]</f>
        <v>195</v>
      </c>
      <c r="M134" s="3" t="str">
        <f>IF(Tabla1[Minutos_Paro]=0,"Nula",IF(Tabla1[Minutos_Paro]&lt;30,"Baja",IF(Tabla1[Minutos_Paro]&lt;60,"Media","Alta")))</f>
        <v>Nula</v>
      </c>
      <c r="N134" s="3">
        <f>250</f>
        <v>250</v>
      </c>
      <c r="O134" s="4">
        <f>Tabla1[Unidades_Defectuosas] / Tabla1[Unidades_Producidas]</f>
        <v>2.0100502512562814E-2</v>
      </c>
      <c r="P134" s="4">
        <f>Tabla1[Unidades_Buenas] / Tabla1[Unidades_Producidas]</f>
        <v>0.97989949748743721</v>
      </c>
      <c r="Q134" s="3">
        <f>IF(Tabla1[Tipo_Defecto_Principal]="Falla de material", 3, IF(Tabla1[Tipo_Defecto_Principal]="Dimensión fuera de especificación", 2, 1))</f>
        <v>1</v>
      </c>
    </row>
    <row r="135" spans="1:17" x14ac:dyDescent="0.3">
      <c r="A135" s="2">
        <v>45211</v>
      </c>
      <c r="B135" t="s">
        <v>8</v>
      </c>
      <c r="C135" t="s">
        <v>12</v>
      </c>
      <c r="D135">
        <v>220</v>
      </c>
      <c r="E135">
        <v>13</v>
      </c>
      <c r="F135" t="s">
        <v>16</v>
      </c>
      <c r="G135">
        <v>0</v>
      </c>
      <c r="H135" t="s">
        <v>26</v>
      </c>
      <c r="I135">
        <f>(480 - Tabla1[Minutos_Paro]) / 60</f>
        <v>8</v>
      </c>
      <c r="J135" t="str">
        <f>IF(Tabla1[Unidades_Defectuosas] &gt; Tabla1[Unidades_Producidas], "ERROR", "OK")</f>
        <v>OK</v>
      </c>
      <c r="K135" s="1">
        <f>Tabla1[Minutos_Paro] / Tabla1[Unidades_Producidas]</f>
        <v>0</v>
      </c>
      <c r="L135">
        <f>Tabla1[Unidades_Producidas] - Tabla1[Unidades_Defectuosas]</f>
        <v>207</v>
      </c>
      <c r="M135" s="3" t="str">
        <f>IF(Tabla1[Minutos_Paro]=0,"Nula",IF(Tabla1[Minutos_Paro]&lt;30,"Baja",IF(Tabla1[Minutos_Paro]&lt;60,"Media","Alta")))</f>
        <v>Nula</v>
      </c>
      <c r="N135" s="3">
        <f>250</f>
        <v>250</v>
      </c>
      <c r="O135" s="4">
        <f>Tabla1[Unidades_Defectuosas] / Tabla1[Unidades_Producidas]</f>
        <v>5.909090909090909E-2</v>
      </c>
      <c r="P135" s="4">
        <f>Tabla1[Unidades_Buenas] / Tabla1[Unidades_Producidas]</f>
        <v>0.94090909090909092</v>
      </c>
      <c r="Q135" s="3">
        <f>IF(Tabla1[Tipo_Defecto_Principal]="Falla de material", 3, IF(Tabla1[Tipo_Defecto_Principal]="Dimensión fuera de especificación", 2, 1))</f>
        <v>1</v>
      </c>
    </row>
    <row r="136" spans="1:17" x14ac:dyDescent="0.3">
      <c r="A136" s="2">
        <v>45211</v>
      </c>
      <c r="B136" t="s">
        <v>8</v>
      </c>
      <c r="C136" t="s">
        <v>13</v>
      </c>
      <c r="D136">
        <v>184</v>
      </c>
      <c r="E136">
        <v>6</v>
      </c>
      <c r="F136" t="s">
        <v>10</v>
      </c>
      <c r="G136">
        <v>0</v>
      </c>
      <c r="H136" t="s">
        <v>26</v>
      </c>
      <c r="I136">
        <f>(480 - Tabla1[Minutos_Paro]) / 60</f>
        <v>8</v>
      </c>
      <c r="J136" t="str">
        <f>IF(Tabla1[Unidades_Defectuosas] &gt; Tabla1[Unidades_Producidas], "ERROR", "OK")</f>
        <v>OK</v>
      </c>
      <c r="K136" s="1">
        <f>Tabla1[Minutos_Paro] / Tabla1[Unidades_Producidas]</f>
        <v>0</v>
      </c>
      <c r="L136">
        <f>Tabla1[Unidades_Producidas] - Tabla1[Unidades_Defectuosas]</f>
        <v>178</v>
      </c>
      <c r="M136" s="3" t="str">
        <f>IF(Tabla1[Minutos_Paro]=0,"Nula",IF(Tabla1[Minutos_Paro]&lt;30,"Baja",IF(Tabla1[Minutos_Paro]&lt;60,"Media","Alta")))</f>
        <v>Nula</v>
      </c>
      <c r="N136" s="3">
        <f>250</f>
        <v>250</v>
      </c>
      <c r="O136" s="4">
        <f>Tabla1[Unidades_Defectuosas] / Tabla1[Unidades_Producidas]</f>
        <v>3.2608695652173912E-2</v>
      </c>
      <c r="P136" s="4">
        <f>Tabla1[Unidades_Buenas] / Tabla1[Unidades_Producidas]</f>
        <v>0.96739130434782605</v>
      </c>
      <c r="Q136" s="3">
        <f>IF(Tabla1[Tipo_Defecto_Principal]="Falla de material", 3, IF(Tabla1[Tipo_Defecto_Principal]="Dimensión fuera de especificación", 2, 1))</f>
        <v>2</v>
      </c>
    </row>
    <row r="137" spans="1:17" x14ac:dyDescent="0.3">
      <c r="A137" s="2">
        <v>45211</v>
      </c>
      <c r="B137" t="s">
        <v>8</v>
      </c>
      <c r="C137" t="s">
        <v>15</v>
      </c>
      <c r="D137">
        <v>196</v>
      </c>
      <c r="E137">
        <v>5</v>
      </c>
      <c r="F137" t="s">
        <v>18</v>
      </c>
      <c r="G137">
        <v>0</v>
      </c>
      <c r="H137" t="s">
        <v>26</v>
      </c>
      <c r="I137">
        <f>(480 - Tabla1[Minutos_Paro]) / 60</f>
        <v>8</v>
      </c>
      <c r="J137" t="str">
        <f>IF(Tabla1[Unidades_Defectuosas] &gt; Tabla1[Unidades_Producidas], "ERROR", "OK")</f>
        <v>OK</v>
      </c>
      <c r="K137" s="1">
        <f>Tabla1[Minutos_Paro] / Tabla1[Unidades_Producidas]</f>
        <v>0</v>
      </c>
      <c r="L137">
        <f>Tabla1[Unidades_Producidas] - Tabla1[Unidades_Defectuosas]</f>
        <v>191</v>
      </c>
      <c r="M137" s="3" t="str">
        <f>IF(Tabla1[Minutos_Paro]=0,"Nula",IF(Tabla1[Minutos_Paro]&lt;30,"Baja",IF(Tabla1[Minutos_Paro]&lt;60,"Media","Alta")))</f>
        <v>Nula</v>
      </c>
      <c r="N137" s="3">
        <f>250</f>
        <v>250</v>
      </c>
      <c r="O137" s="4">
        <f>Tabla1[Unidades_Defectuosas] / Tabla1[Unidades_Producidas]</f>
        <v>2.5510204081632654E-2</v>
      </c>
      <c r="P137" s="4">
        <f>Tabla1[Unidades_Buenas] / Tabla1[Unidades_Producidas]</f>
        <v>0.97448979591836737</v>
      </c>
      <c r="Q137" s="3">
        <f>IF(Tabla1[Tipo_Defecto_Principal]="Falla de material", 3, IF(Tabla1[Tipo_Defecto_Principal]="Dimensión fuera de especificación", 2, 1))</f>
        <v>1</v>
      </c>
    </row>
    <row r="138" spans="1:17" x14ac:dyDescent="0.3">
      <c r="A138" s="2">
        <v>45211</v>
      </c>
      <c r="B138" t="s">
        <v>17</v>
      </c>
      <c r="C138" t="s">
        <v>9</v>
      </c>
      <c r="D138">
        <v>190</v>
      </c>
      <c r="E138">
        <v>9</v>
      </c>
      <c r="F138" t="s">
        <v>10</v>
      </c>
      <c r="G138">
        <v>0</v>
      </c>
      <c r="H138" t="s">
        <v>26</v>
      </c>
      <c r="I138">
        <f>(480 - Tabla1[Minutos_Paro]) / 60</f>
        <v>8</v>
      </c>
      <c r="J138" t="str">
        <f>IF(Tabla1[Unidades_Defectuosas] &gt; Tabla1[Unidades_Producidas], "ERROR", "OK")</f>
        <v>OK</v>
      </c>
      <c r="K138" s="1">
        <f>Tabla1[Minutos_Paro] / Tabla1[Unidades_Producidas]</f>
        <v>0</v>
      </c>
      <c r="L138">
        <f>Tabla1[Unidades_Producidas] - Tabla1[Unidades_Defectuosas]</f>
        <v>181</v>
      </c>
      <c r="M138" s="3" t="str">
        <f>IF(Tabla1[Minutos_Paro]=0,"Nula",IF(Tabla1[Minutos_Paro]&lt;30,"Baja",IF(Tabla1[Minutos_Paro]&lt;60,"Media","Alta")))</f>
        <v>Nula</v>
      </c>
      <c r="N138" s="3">
        <f>250</f>
        <v>250</v>
      </c>
      <c r="O138" s="4">
        <f>Tabla1[Unidades_Defectuosas] / Tabla1[Unidades_Producidas]</f>
        <v>4.736842105263158E-2</v>
      </c>
      <c r="P138" s="4">
        <f>Tabla1[Unidades_Buenas] / Tabla1[Unidades_Producidas]</f>
        <v>0.95263157894736838</v>
      </c>
      <c r="Q138" s="3">
        <f>IF(Tabla1[Tipo_Defecto_Principal]="Falla de material", 3, IF(Tabla1[Tipo_Defecto_Principal]="Dimensión fuera de especificación", 2, 1))</f>
        <v>2</v>
      </c>
    </row>
    <row r="139" spans="1:17" x14ac:dyDescent="0.3">
      <c r="A139" s="2">
        <v>45211</v>
      </c>
      <c r="B139" t="s">
        <v>17</v>
      </c>
      <c r="C139" t="s">
        <v>12</v>
      </c>
      <c r="D139">
        <v>217</v>
      </c>
      <c r="E139">
        <v>14</v>
      </c>
      <c r="F139" t="s">
        <v>10</v>
      </c>
      <c r="G139">
        <v>0</v>
      </c>
      <c r="H139" t="s">
        <v>26</v>
      </c>
      <c r="I139">
        <f>(480 - Tabla1[Minutos_Paro]) / 60</f>
        <v>8</v>
      </c>
      <c r="J139" t="str">
        <f>IF(Tabla1[Unidades_Defectuosas] &gt; Tabla1[Unidades_Producidas], "ERROR", "OK")</f>
        <v>OK</v>
      </c>
      <c r="K139" s="1">
        <f>Tabla1[Minutos_Paro] / Tabla1[Unidades_Producidas]</f>
        <v>0</v>
      </c>
      <c r="L139">
        <f>Tabla1[Unidades_Producidas] - Tabla1[Unidades_Defectuosas]</f>
        <v>203</v>
      </c>
      <c r="M139" s="3" t="str">
        <f>IF(Tabla1[Minutos_Paro]=0,"Nula",IF(Tabla1[Minutos_Paro]&lt;30,"Baja",IF(Tabla1[Minutos_Paro]&lt;60,"Media","Alta")))</f>
        <v>Nula</v>
      </c>
      <c r="N139" s="3">
        <f>250</f>
        <v>250</v>
      </c>
      <c r="O139" s="4">
        <f>Tabla1[Unidades_Defectuosas] / Tabla1[Unidades_Producidas]</f>
        <v>6.4516129032258063E-2</v>
      </c>
      <c r="P139" s="4">
        <f>Tabla1[Unidades_Buenas] / Tabla1[Unidades_Producidas]</f>
        <v>0.93548387096774188</v>
      </c>
      <c r="Q139" s="3">
        <f>IF(Tabla1[Tipo_Defecto_Principal]="Falla de material", 3, IF(Tabla1[Tipo_Defecto_Principal]="Dimensión fuera de especificación", 2, 1))</f>
        <v>2</v>
      </c>
    </row>
    <row r="140" spans="1:17" x14ac:dyDescent="0.3">
      <c r="A140" s="2">
        <v>45211</v>
      </c>
      <c r="B140" t="s">
        <v>17</v>
      </c>
      <c r="C140" t="s">
        <v>13</v>
      </c>
      <c r="D140">
        <v>249</v>
      </c>
      <c r="E140">
        <v>10</v>
      </c>
      <c r="F140" t="s">
        <v>16</v>
      </c>
      <c r="G140">
        <v>15</v>
      </c>
      <c r="H140" t="s">
        <v>21</v>
      </c>
      <c r="I140">
        <f>(480 - Tabla1[Minutos_Paro]) / 60</f>
        <v>7.75</v>
      </c>
      <c r="J140" t="str">
        <f>IF(Tabla1[Unidades_Defectuosas] &gt; Tabla1[Unidades_Producidas], "ERROR", "OK")</f>
        <v>OK</v>
      </c>
      <c r="K140" s="1">
        <f>Tabla1[Minutos_Paro] / Tabla1[Unidades_Producidas]</f>
        <v>6.0240963855421686E-2</v>
      </c>
      <c r="L140">
        <f>Tabla1[Unidades_Producidas] - Tabla1[Unidades_Defectuosas]</f>
        <v>239</v>
      </c>
      <c r="M140" s="3" t="str">
        <f>IF(Tabla1[Minutos_Paro]=0,"Nula",IF(Tabla1[Minutos_Paro]&lt;30,"Baja",IF(Tabla1[Minutos_Paro]&lt;60,"Media","Alta")))</f>
        <v>Baja</v>
      </c>
      <c r="N140" s="3">
        <f>250</f>
        <v>250</v>
      </c>
      <c r="O140" s="4">
        <f>Tabla1[Unidades_Defectuosas] / Tabla1[Unidades_Producidas]</f>
        <v>4.0160642570281124E-2</v>
      </c>
      <c r="P140" s="4">
        <f>Tabla1[Unidades_Buenas] / Tabla1[Unidades_Producidas]</f>
        <v>0.95983935742971882</v>
      </c>
      <c r="Q140" s="3">
        <f>IF(Tabla1[Tipo_Defecto_Principal]="Falla de material", 3, IF(Tabla1[Tipo_Defecto_Principal]="Dimensión fuera de especificación", 2, 1))</f>
        <v>1</v>
      </c>
    </row>
    <row r="141" spans="1:17" x14ac:dyDescent="0.3">
      <c r="A141" s="2">
        <v>45211</v>
      </c>
      <c r="B141" t="s">
        <v>17</v>
      </c>
      <c r="C141" t="s">
        <v>15</v>
      </c>
      <c r="D141">
        <v>185</v>
      </c>
      <c r="E141">
        <v>4</v>
      </c>
      <c r="F141" t="s">
        <v>10</v>
      </c>
      <c r="G141">
        <v>0</v>
      </c>
      <c r="H141" t="s">
        <v>26</v>
      </c>
      <c r="I141">
        <f>(480 - Tabla1[Minutos_Paro]) / 60</f>
        <v>8</v>
      </c>
      <c r="J141" t="str">
        <f>IF(Tabla1[Unidades_Defectuosas] &gt; Tabla1[Unidades_Producidas], "ERROR", "OK")</f>
        <v>OK</v>
      </c>
      <c r="K141" s="1">
        <f>Tabla1[Minutos_Paro] / Tabla1[Unidades_Producidas]</f>
        <v>0</v>
      </c>
      <c r="L141">
        <f>Tabla1[Unidades_Producidas] - Tabla1[Unidades_Defectuosas]</f>
        <v>181</v>
      </c>
      <c r="M141" s="3" t="str">
        <f>IF(Tabla1[Minutos_Paro]=0,"Nula",IF(Tabla1[Minutos_Paro]&lt;30,"Baja",IF(Tabla1[Minutos_Paro]&lt;60,"Media","Alta")))</f>
        <v>Nula</v>
      </c>
      <c r="N141" s="3">
        <f>250</f>
        <v>250</v>
      </c>
      <c r="O141" s="4">
        <f>Tabla1[Unidades_Defectuosas] / Tabla1[Unidades_Producidas]</f>
        <v>2.1621621621621623E-2</v>
      </c>
      <c r="P141" s="4">
        <f>Tabla1[Unidades_Buenas] / Tabla1[Unidades_Producidas]</f>
        <v>0.97837837837837838</v>
      </c>
      <c r="Q141" s="3">
        <f>IF(Tabla1[Tipo_Defecto_Principal]="Falla de material", 3, IF(Tabla1[Tipo_Defecto_Principal]="Dimensión fuera de especificación", 2, 1))</f>
        <v>2</v>
      </c>
    </row>
    <row r="142" spans="1:17" x14ac:dyDescent="0.3">
      <c r="A142" s="2">
        <v>45211</v>
      </c>
      <c r="B142" t="s">
        <v>19</v>
      </c>
      <c r="C142" t="s">
        <v>9</v>
      </c>
      <c r="D142">
        <v>224</v>
      </c>
      <c r="E142">
        <v>7</v>
      </c>
      <c r="F142" t="s">
        <v>16</v>
      </c>
      <c r="G142">
        <v>15</v>
      </c>
      <c r="H142" t="s">
        <v>23</v>
      </c>
      <c r="I142">
        <f>(480 - Tabla1[Minutos_Paro]) / 60</f>
        <v>7.75</v>
      </c>
      <c r="J142" t="str">
        <f>IF(Tabla1[Unidades_Defectuosas] &gt; Tabla1[Unidades_Producidas], "ERROR", "OK")</f>
        <v>OK</v>
      </c>
      <c r="K142" s="1">
        <f>Tabla1[Minutos_Paro] / Tabla1[Unidades_Producidas]</f>
        <v>6.6964285714285712E-2</v>
      </c>
      <c r="L142">
        <f>Tabla1[Unidades_Producidas] - Tabla1[Unidades_Defectuosas]</f>
        <v>217</v>
      </c>
      <c r="M142" s="3" t="str">
        <f>IF(Tabla1[Minutos_Paro]=0,"Nula",IF(Tabla1[Minutos_Paro]&lt;30,"Baja",IF(Tabla1[Minutos_Paro]&lt;60,"Media","Alta")))</f>
        <v>Baja</v>
      </c>
      <c r="N142" s="3">
        <f>250</f>
        <v>250</v>
      </c>
      <c r="O142" s="4">
        <f>Tabla1[Unidades_Defectuosas] / Tabla1[Unidades_Producidas]</f>
        <v>3.125E-2</v>
      </c>
      <c r="P142" s="4">
        <f>Tabla1[Unidades_Buenas] / Tabla1[Unidades_Producidas]</f>
        <v>0.96875</v>
      </c>
      <c r="Q142" s="3">
        <f>IF(Tabla1[Tipo_Defecto_Principal]="Falla de material", 3, IF(Tabla1[Tipo_Defecto_Principal]="Dimensión fuera de especificación", 2, 1))</f>
        <v>1</v>
      </c>
    </row>
    <row r="143" spans="1:17" x14ac:dyDescent="0.3">
      <c r="A143" s="2">
        <v>45211</v>
      </c>
      <c r="B143" t="s">
        <v>19</v>
      </c>
      <c r="C143" t="s">
        <v>12</v>
      </c>
      <c r="D143">
        <v>211</v>
      </c>
      <c r="E143">
        <v>15</v>
      </c>
      <c r="F143" t="s">
        <v>18</v>
      </c>
      <c r="G143">
        <v>0</v>
      </c>
      <c r="H143" t="s">
        <v>26</v>
      </c>
      <c r="I143">
        <f>(480 - Tabla1[Minutos_Paro]) / 60</f>
        <v>8</v>
      </c>
      <c r="J143" t="str">
        <f>IF(Tabla1[Unidades_Defectuosas] &gt; Tabla1[Unidades_Producidas], "ERROR", "OK")</f>
        <v>OK</v>
      </c>
      <c r="K143" s="1">
        <f>Tabla1[Minutos_Paro] / Tabla1[Unidades_Producidas]</f>
        <v>0</v>
      </c>
      <c r="L143">
        <f>Tabla1[Unidades_Producidas] - Tabla1[Unidades_Defectuosas]</f>
        <v>196</v>
      </c>
      <c r="M143" s="3" t="str">
        <f>IF(Tabla1[Minutos_Paro]=0,"Nula",IF(Tabla1[Minutos_Paro]&lt;30,"Baja",IF(Tabla1[Minutos_Paro]&lt;60,"Media","Alta")))</f>
        <v>Nula</v>
      </c>
      <c r="N143" s="3">
        <f>250</f>
        <v>250</v>
      </c>
      <c r="O143" s="4">
        <f>Tabla1[Unidades_Defectuosas] / Tabla1[Unidades_Producidas]</f>
        <v>7.1090047393364927E-2</v>
      </c>
      <c r="P143" s="4">
        <f>Tabla1[Unidades_Buenas] / Tabla1[Unidades_Producidas]</f>
        <v>0.92890995260663511</v>
      </c>
      <c r="Q143" s="3">
        <f>IF(Tabla1[Tipo_Defecto_Principal]="Falla de material", 3, IF(Tabla1[Tipo_Defecto_Principal]="Dimensión fuera de especificación", 2, 1))</f>
        <v>1</v>
      </c>
    </row>
    <row r="144" spans="1:17" x14ac:dyDescent="0.3">
      <c r="A144" s="2">
        <v>45211</v>
      </c>
      <c r="B144" t="s">
        <v>19</v>
      </c>
      <c r="C144" t="s">
        <v>13</v>
      </c>
      <c r="D144">
        <v>181</v>
      </c>
      <c r="E144">
        <v>2</v>
      </c>
      <c r="F144" t="s">
        <v>16</v>
      </c>
      <c r="G144">
        <v>0</v>
      </c>
      <c r="H144" t="s">
        <v>26</v>
      </c>
      <c r="I144">
        <f>(480 - Tabla1[Minutos_Paro]) / 60</f>
        <v>8</v>
      </c>
      <c r="J144" t="str">
        <f>IF(Tabla1[Unidades_Defectuosas] &gt; Tabla1[Unidades_Producidas], "ERROR", "OK")</f>
        <v>OK</v>
      </c>
      <c r="K144" s="1">
        <f>Tabla1[Minutos_Paro] / Tabla1[Unidades_Producidas]</f>
        <v>0</v>
      </c>
      <c r="L144">
        <f>Tabla1[Unidades_Producidas] - Tabla1[Unidades_Defectuosas]</f>
        <v>179</v>
      </c>
      <c r="M144" s="3" t="str">
        <f>IF(Tabla1[Minutos_Paro]=0,"Nula",IF(Tabla1[Minutos_Paro]&lt;30,"Baja",IF(Tabla1[Minutos_Paro]&lt;60,"Media","Alta")))</f>
        <v>Nula</v>
      </c>
      <c r="N144" s="3">
        <f>250</f>
        <v>250</v>
      </c>
      <c r="O144" s="4">
        <f>Tabla1[Unidades_Defectuosas] / Tabla1[Unidades_Producidas]</f>
        <v>1.1049723756906077E-2</v>
      </c>
      <c r="P144" s="4">
        <f>Tabla1[Unidades_Buenas] / Tabla1[Unidades_Producidas]</f>
        <v>0.98895027624309395</v>
      </c>
      <c r="Q144" s="3">
        <f>IF(Tabla1[Tipo_Defecto_Principal]="Falla de material", 3, IF(Tabla1[Tipo_Defecto_Principal]="Dimensión fuera de especificación", 2, 1))</f>
        <v>1</v>
      </c>
    </row>
    <row r="145" spans="1:17" x14ac:dyDescent="0.3">
      <c r="A145" s="2">
        <v>45211</v>
      </c>
      <c r="B145" t="s">
        <v>19</v>
      </c>
      <c r="C145" t="s">
        <v>15</v>
      </c>
      <c r="D145">
        <v>225</v>
      </c>
      <c r="E145">
        <v>4</v>
      </c>
      <c r="F145" t="s">
        <v>16</v>
      </c>
      <c r="G145">
        <v>15</v>
      </c>
      <c r="H145" t="s">
        <v>24</v>
      </c>
      <c r="I145">
        <f>(480 - Tabla1[Minutos_Paro]) / 60</f>
        <v>7.75</v>
      </c>
      <c r="J145" t="str">
        <f>IF(Tabla1[Unidades_Defectuosas] &gt; Tabla1[Unidades_Producidas], "ERROR", "OK")</f>
        <v>OK</v>
      </c>
      <c r="K145" s="1">
        <f>Tabla1[Minutos_Paro] / Tabla1[Unidades_Producidas]</f>
        <v>6.6666666666666666E-2</v>
      </c>
      <c r="L145">
        <f>Tabla1[Unidades_Producidas] - Tabla1[Unidades_Defectuosas]</f>
        <v>221</v>
      </c>
      <c r="M145" s="3" t="str">
        <f>IF(Tabla1[Minutos_Paro]=0,"Nula",IF(Tabla1[Minutos_Paro]&lt;30,"Baja",IF(Tabla1[Minutos_Paro]&lt;60,"Media","Alta")))</f>
        <v>Baja</v>
      </c>
      <c r="N145" s="3">
        <f>250</f>
        <v>250</v>
      </c>
      <c r="O145" s="4">
        <f>Tabla1[Unidades_Defectuosas] / Tabla1[Unidades_Producidas]</f>
        <v>1.7777777777777778E-2</v>
      </c>
      <c r="P145" s="4">
        <f>Tabla1[Unidades_Buenas] / Tabla1[Unidades_Producidas]</f>
        <v>0.98222222222222222</v>
      </c>
      <c r="Q145" s="3">
        <f>IF(Tabla1[Tipo_Defecto_Principal]="Falla de material", 3, IF(Tabla1[Tipo_Defecto_Principal]="Dimensión fuera de especificación", 2, 1))</f>
        <v>1</v>
      </c>
    </row>
    <row r="146" spans="1:17" x14ac:dyDescent="0.3">
      <c r="A146" s="2">
        <v>45212</v>
      </c>
      <c r="B146" t="s">
        <v>8</v>
      </c>
      <c r="C146" t="s">
        <v>9</v>
      </c>
      <c r="D146">
        <v>209</v>
      </c>
      <c r="E146">
        <v>4</v>
      </c>
      <c r="F146" t="s">
        <v>14</v>
      </c>
      <c r="G146">
        <v>0</v>
      </c>
      <c r="H146" t="s">
        <v>26</v>
      </c>
      <c r="I146">
        <f>(480 - Tabla1[Minutos_Paro]) / 60</f>
        <v>8</v>
      </c>
      <c r="J146" t="str">
        <f>IF(Tabla1[Unidades_Defectuosas] &gt; Tabla1[Unidades_Producidas], "ERROR", "OK")</f>
        <v>OK</v>
      </c>
      <c r="K146" s="1">
        <f>Tabla1[Minutos_Paro] / Tabla1[Unidades_Producidas]</f>
        <v>0</v>
      </c>
      <c r="L146">
        <f>Tabla1[Unidades_Producidas] - Tabla1[Unidades_Defectuosas]</f>
        <v>205</v>
      </c>
      <c r="M146" s="3" t="str">
        <f>IF(Tabla1[Minutos_Paro]=0,"Nula",IF(Tabla1[Minutos_Paro]&lt;30,"Baja",IF(Tabla1[Minutos_Paro]&lt;60,"Media","Alta")))</f>
        <v>Nula</v>
      </c>
      <c r="N146" s="3">
        <f>250</f>
        <v>250</v>
      </c>
      <c r="O146" s="4">
        <f>Tabla1[Unidades_Defectuosas] / Tabla1[Unidades_Producidas]</f>
        <v>1.9138755980861243E-2</v>
      </c>
      <c r="P146" s="4">
        <f>Tabla1[Unidades_Buenas] / Tabla1[Unidades_Producidas]</f>
        <v>0.98086124401913877</v>
      </c>
      <c r="Q146" s="3">
        <f>IF(Tabla1[Tipo_Defecto_Principal]="Falla de material", 3, IF(Tabla1[Tipo_Defecto_Principal]="Dimensión fuera de especificación", 2, 1))</f>
        <v>3</v>
      </c>
    </row>
    <row r="147" spans="1:17" x14ac:dyDescent="0.3">
      <c r="A147" s="2">
        <v>45212</v>
      </c>
      <c r="B147" t="s">
        <v>8</v>
      </c>
      <c r="C147" t="s">
        <v>12</v>
      </c>
      <c r="D147">
        <v>201</v>
      </c>
      <c r="E147">
        <v>24</v>
      </c>
      <c r="F147" t="s">
        <v>10</v>
      </c>
      <c r="G147">
        <v>0</v>
      </c>
      <c r="H147" t="s">
        <v>26</v>
      </c>
      <c r="I147">
        <f>(480 - Tabla1[Minutos_Paro]) / 60</f>
        <v>8</v>
      </c>
      <c r="J147" t="str">
        <f>IF(Tabla1[Unidades_Defectuosas] &gt; Tabla1[Unidades_Producidas], "ERROR", "OK")</f>
        <v>OK</v>
      </c>
      <c r="K147" s="1">
        <f>Tabla1[Minutos_Paro] / Tabla1[Unidades_Producidas]</f>
        <v>0</v>
      </c>
      <c r="L147">
        <f>Tabla1[Unidades_Producidas] - Tabla1[Unidades_Defectuosas]</f>
        <v>177</v>
      </c>
      <c r="M147" s="3" t="str">
        <f>IF(Tabla1[Minutos_Paro]=0,"Nula",IF(Tabla1[Minutos_Paro]&lt;30,"Baja",IF(Tabla1[Minutos_Paro]&lt;60,"Media","Alta")))</f>
        <v>Nula</v>
      </c>
      <c r="N147" s="3">
        <f>250</f>
        <v>250</v>
      </c>
      <c r="O147" s="4">
        <f>Tabla1[Unidades_Defectuosas] / Tabla1[Unidades_Producidas]</f>
        <v>0.11940298507462686</v>
      </c>
      <c r="P147" s="4">
        <f>Tabla1[Unidades_Buenas] / Tabla1[Unidades_Producidas]</f>
        <v>0.88059701492537312</v>
      </c>
      <c r="Q147" s="3">
        <f>IF(Tabla1[Tipo_Defecto_Principal]="Falla de material", 3, IF(Tabla1[Tipo_Defecto_Principal]="Dimensión fuera de especificación", 2, 1))</f>
        <v>2</v>
      </c>
    </row>
    <row r="148" spans="1:17" x14ac:dyDescent="0.3">
      <c r="A148" s="2">
        <v>45212</v>
      </c>
      <c r="B148" t="s">
        <v>8</v>
      </c>
      <c r="C148" t="s">
        <v>13</v>
      </c>
      <c r="D148">
        <v>243</v>
      </c>
      <c r="E148">
        <v>5</v>
      </c>
      <c r="F148" t="s">
        <v>16</v>
      </c>
      <c r="G148">
        <v>15</v>
      </c>
      <c r="H148" t="s">
        <v>25</v>
      </c>
      <c r="I148">
        <f>(480 - Tabla1[Minutos_Paro]) / 60</f>
        <v>7.75</v>
      </c>
      <c r="J148" t="str">
        <f>IF(Tabla1[Unidades_Defectuosas] &gt; Tabla1[Unidades_Producidas], "ERROR", "OK")</f>
        <v>OK</v>
      </c>
      <c r="K148" s="1">
        <f>Tabla1[Minutos_Paro] / Tabla1[Unidades_Producidas]</f>
        <v>6.1728395061728392E-2</v>
      </c>
      <c r="L148">
        <f>Tabla1[Unidades_Producidas] - Tabla1[Unidades_Defectuosas]</f>
        <v>238</v>
      </c>
      <c r="M148" s="3" t="str">
        <f>IF(Tabla1[Minutos_Paro]=0,"Nula",IF(Tabla1[Minutos_Paro]&lt;30,"Baja",IF(Tabla1[Minutos_Paro]&lt;60,"Media","Alta")))</f>
        <v>Baja</v>
      </c>
      <c r="N148" s="3">
        <f>250</f>
        <v>250</v>
      </c>
      <c r="O148" s="4">
        <f>Tabla1[Unidades_Defectuosas] / Tabla1[Unidades_Producidas]</f>
        <v>2.0576131687242798E-2</v>
      </c>
      <c r="P148" s="4">
        <f>Tabla1[Unidades_Buenas] / Tabla1[Unidades_Producidas]</f>
        <v>0.97942386831275718</v>
      </c>
      <c r="Q148" s="3">
        <f>IF(Tabla1[Tipo_Defecto_Principal]="Falla de material", 3, IF(Tabla1[Tipo_Defecto_Principal]="Dimensión fuera de especificación", 2, 1))</f>
        <v>1</v>
      </c>
    </row>
    <row r="149" spans="1:17" x14ac:dyDescent="0.3">
      <c r="A149" s="2">
        <v>45212</v>
      </c>
      <c r="B149" t="s">
        <v>8</v>
      </c>
      <c r="C149" t="s">
        <v>15</v>
      </c>
      <c r="D149">
        <v>215</v>
      </c>
      <c r="E149">
        <v>7</v>
      </c>
      <c r="F149" t="s">
        <v>16</v>
      </c>
      <c r="G149">
        <v>0</v>
      </c>
      <c r="H149" t="s">
        <v>26</v>
      </c>
      <c r="I149">
        <f>(480 - Tabla1[Minutos_Paro]) / 60</f>
        <v>8</v>
      </c>
      <c r="J149" t="str">
        <f>IF(Tabla1[Unidades_Defectuosas] &gt; Tabla1[Unidades_Producidas], "ERROR", "OK")</f>
        <v>OK</v>
      </c>
      <c r="K149" s="1">
        <f>Tabla1[Minutos_Paro] / Tabla1[Unidades_Producidas]</f>
        <v>0</v>
      </c>
      <c r="L149">
        <f>Tabla1[Unidades_Producidas] - Tabla1[Unidades_Defectuosas]</f>
        <v>208</v>
      </c>
      <c r="M149" s="3" t="str">
        <f>IF(Tabla1[Minutos_Paro]=0,"Nula",IF(Tabla1[Minutos_Paro]&lt;30,"Baja",IF(Tabla1[Minutos_Paro]&lt;60,"Media","Alta")))</f>
        <v>Nula</v>
      </c>
      <c r="N149" s="3">
        <f>250</f>
        <v>250</v>
      </c>
      <c r="O149" s="4">
        <f>Tabla1[Unidades_Defectuosas] / Tabla1[Unidades_Producidas]</f>
        <v>3.255813953488372E-2</v>
      </c>
      <c r="P149" s="4">
        <f>Tabla1[Unidades_Buenas] / Tabla1[Unidades_Producidas]</f>
        <v>0.96744186046511627</v>
      </c>
      <c r="Q149" s="3">
        <f>IF(Tabla1[Tipo_Defecto_Principal]="Falla de material", 3, IF(Tabla1[Tipo_Defecto_Principal]="Dimensión fuera de especificación", 2, 1))</f>
        <v>1</v>
      </c>
    </row>
    <row r="150" spans="1:17" x14ac:dyDescent="0.3">
      <c r="A150" s="2">
        <v>45212</v>
      </c>
      <c r="B150" t="s">
        <v>17</v>
      </c>
      <c r="C150" t="s">
        <v>9</v>
      </c>
      <c r="D150">
        <v>225</v>
      </c>
      <c r="E150">
        <v>9</v>
      </c>
      <c r="F150" t="s">
        <v>10</v>
      </c>
      <c r="G150">
        <v>0</v>
      </c>
      <c r="H150" t="s">
        <v>26</v>
      </c>
      <c r="I150">
        <f>(480 - Tabla1[Minutos_Paro]) / 60</f>
        <v>8</v>
      </c>
      <c r="J150" t="str">
        <f>IF(Tabla1[Unidades_Defectuosas] &gt; Tabla1[Unidades_Producidas], "ERROR", "OK")</f>
        <v>OK</v>
      </c>
      <c r="K150" s="1">
        <f>Tabla1[Minutos_Paro] / Tabla1[Unidades_Producidas]</f>
        <v>0</v>
      </c>
      <c r="L150">
        <f>Tabla1[Unidades_Producidas] - Tabla1[Unidades_Defectuosas]</f>
        <v>216</v>
      </c>
      <c r="M150" s="3" t="str">
        <f>IF(Tabla1[Minutos_Paro]=0,"Nula",IF(Tabla1[Minutos_Paro]&lt;30,"Baja",IF(Tabla1[Minutos_Paro]&lt;60,"Media","Alta")))</f>
        <v>Nula</v>
      </c>
      <c r="N150" s="3">
        <f>250</f>
        <v>250</v>
      </c>
      <c r="O150" s="4">
        <f>Tabla1[Unidades_Defectuosas] / Tabla1[Unidades_Producidas]</f>
        <v>0.04</v>
      </c>
      <c r="P150" s="4">
        <f>Tabla1[Unidades_Buenas] / Tabla1[Unidades_Producidas]</f>
        <v>0.96</v>
      </c>
      <c r="Q150" s="3">
        <f>IF(Tabla1[Tipo_Defecto_Principal]="Falla de material", 3, IF(Tabla1[Tipo_Defecto_Principal]="Dimensión fuera de especificación", 2, 1))</f>
        <v>2</v>
      </c>
    </row>
    <row r="151" spans="1:17" x14ac:dyDescent="0.3">
      <c r="A151" s="2">
        <v>45212</v>
      </c>
      <c r="B151" t="s">
        <v>17</v>
      </c>
      <c r="C151" t="s">
        <v>12</v>
      </c>
      <c r="D151">
        <v>246</v>
      </c>
      <c r="E151">
        <v>30</v>
      </c>
      <c r="F151" t="s">
        <v>14</v>
      </c>
      <c r="G151">
        <v>0</v>
      </c>
      <c r="H151" t="s">
        <v>26</v>
      </c>
      <c r="I151">
        <f>(480 - Tabla1[Minutos_Paro]) / 60</f>
        <v>8</v>
      </c>
      <c r="J151" t="str">
        <f>IF(Tabla1[Unidades_Defectuosas] &gt; Tabla1[Unidades_Producidas], "ERROR", "OK")</f>
        <v>OK</v>
      </c>
      <c r="K151" s="1">
        <f>Tabla1[Minutos_Paro] / Tabla1[Unidades_Producidas]</f>
        <v>0</v>
      </c>
      <c r="L151">
        <f>Tabla1[Unidades_Producidas] - Tabla1[Unidades_Defectuosas]</f>
        <v>216</v>
      </c>
      <c r="M151" s="3" t="str">
        <f>IF(Tabla1[Minutos_Paro]=0,"Nula",IF(Tabla1[Minutos_Paro]&lt;30,"Baja",IF(Tabla1[Minutos_Paro]&lt;60,"Media","Alta")))</f>
        <v>Nula</v>
      </c>
      <c r="N151" s="3">
        <f>250</f>
        <v>250</v>
      </c>
      <c r="O151" s="4">
        <f>Tabla1[Unidades_Defectuosas] / Tabla1[Unidades_Producidas]</f>
        <v>0.12195121951219512</v>
      </c>
      <c r="P151" s="4">
        <f>Tabla1[Unidades_Buenas] / Tabla1[Unidades_Producidas]</f>
        <v>0.87804878048780488</v>
      </c>
      <c r="Q151" s="3">
        <f>IF(Tabla1[Tipo_Defecto_Principal]="Falla de material", 3, IF(Tabla1[Tipo_Defecto_Principal]="Dimensión fuera de especificación", 2, 1))</f>
        <v>3</v>
      </c>
    </row>
    <row r="152" spans="1:17" x14ac:dyDescent="0.3">
      <c r="A152" s="2">
        <v>45212</v>
      </c>
      <c r="B152" t="s">
        <v>17</v>
      </c>
      <c r="C152" t="s">
        <v>13</v>
      </c>
      <c r="D152">
        <v>200</v>
      </c>
      <c r="E152">
        <v>10</v>
      </c>
      <c r="F152" t="s">
        <v>16</v>
      </c>
      <c r="G152">
        <v>0</v>
      </c>
      <c r="H152" t="s">
        <v>26</v>
      </c>
      <c r="I152">
        <f>(480 - Tabla1[Minutos_Paro]) / 60</f>
        <v>8</v>
      </c>
      <c r="J152" t="str">
        <f>IF(Tabla1[Unidades_Defectuosas] &gt; Tabla1[Unidades_Producidas], "ERROR", "OK")</f>
        <v>OK</v>
      </c>
      <c r="K152" s="1">
        <f>Tabla1[Minutos_Paro] / Tabla1[Unidades_Producidas]</f>
        <v>0</v>
      </c>
      <c r="L152">
        <f>Tabla1[Unidades_Producidas] - Tabla1[Unidades_Defectuosas]</f>
        <v>190</v>
      </c>
      <c r="M152" s="3" t="str">
        <f>IF(Tabla1[Minutos_Paro]=0,"Nula",IF(Tabla1[Minutos_Paro]&lt;30,"Baja",IF(Tabla1[Minutos_Paro]&lt;60,"Media","Alta")))</f>
        <v>Nula</v>
      </c>
      <c r="N152" s="3">
        <f>250</f>
        <v>250</v>
      </c>
      <c r="O152" s="4">
        <f>Tabla1[Unidades_Defectuosas] / Tabla1[Unidades_Producidas]</f>
        <v>0.05</v>
      </c>
      <c r="P152" s="4">
        <f>Tabla1[Unidades_Buenas] / Tabla1[Unidades_Producidas]</f>
        <v>0.95</v>
      </c>
      <c r="Q152" s="3">
        <f>IF(Tabla1[Tipo_Defecto_Principal]="Falla de material", 3, IF(Tabla1[Tipo_Defecto_Principal]="Dimensión fuera de especificación", 2, 1))</f>
        <v>1</v>
      </c>
    </row>
    <row r="153" spans="1:17" x14ac:dyDescent="0.3">
      <c r="A153" s="2">
        <v>45212</v>
      </c>
      <c r="B153" t="s">
        <v>17</v>
      </c>
      <c r="C153" t="s">
        <v>15</v>
      </c>
      <c r="D153">
        <v>197</v>
      </c>
      <c r="E153">
        <v>10</v>
      </c>
      <c r="F153" t="s">
        <v>20</v>
      </c>
      <c r="G153">
        <v>0</v>
      </c>
      <c r="H153" t="s">
        <v>26</v>
      </c>
      <c r="I153">
        <f>(480 - Tabla1[Minutos_Paro]) / 60</f>
        <v>8</v>
      </c>
      <c r="J153" t="str">
        <f>IF(Tabla1[Unidades_Defectuosas] &gt; Tabla1[Unidades_Producidas], "ERROR", "OK")</f>
        <v>OK</v>
      </c>
      <c r="K153" s="1">
        <f>Tabla1[Minutos_Paro] / Tabla1[Unidades_Producidas]</f>
        <v>0</v>
      </c>
      <c r="L153">
        <f>Tabla1[Unidades_Producidas] - Tabla1[Unidades_Defectuosas]</f>
        <v>187</v>
      </c>
      <c r="M153" s="3" t="str">
        <f>IF(Tabla1[Minutos_Paro]=0,"Nula",IF(Tabla1[Minutos_Paro]&lt;30,"Baja",IF(Tabla1[Minutos_Paro]&lt;60,"Media","Alta")))</f>
        <v>Nula</v>
      </c>
      <c r="N153" s="3">
        <f>250</f>
        <v>250</v>
      </c>
      <c r="O153" s="4">
        <f>Tabla1[Unidades_Defectuosas] / Tabla1[Unidades_Producidas]</f>
        <v>5.0761421319796954E-2</v>
      </c>
      <c r="P153" s="4">
        <f>Tabla1[Unidades_Buenas] / Tabla1[Unidades_Producidas]</f>
        <v>0.949238578680203</v>
      </c>
      <c r="Q153" s="3">
        <f>IF(Tabla1[Tipo_Defecto_Principal]="Falla de material", 3, IF(Tabla1[Tipo_Defecto_Principal]="Dimensión fuera de especificación", 2, 1))</f>
        <v>1</v>
      </c>
    </row>
    <row r="154" spans="1:17" x14ac:dyDescent="0.3">
      <c r="A154" s="2">
        <v>45212</v>
      </c>
      <c r="B154" t="s">
        <v>19</v>
      </c>
      <c r="C154" t="s">
        <v>9</v>
      </c>
      <c r="D154">
        <v>239</v>
      </c>
      <c r="E154">
        <v>3</v>
      </c>
      <c r="F154" t="s">
        <v>14</v>
      </c>
      <c r="G154">
        <v>0</v>
      </c>
      <c r="H154" t="s">
        <v>26</v>
      </c>
      <c r="I154">
        <f>(480 - Tabla1[Minutos_Paro]) / 60</f>
        <v>8</v>
      </c>
      <c r="J154" t="str">
        <f>IF(Tabla1[Unidades_Defectuosas] &gt; Tabla1[Unidades_Producidas], "ERROR", "OK")</f>
        <v>OK</v>
      </c>
      <c r="K154" s="1">
        <f>Tabla1[Minutos_Paro] / Tabla1[Unidades_Producidas]</f>
        <v>0</v>
      </c>
      <c r="L154">
        <f>Tabla1[Unidades_Producidas] - Tabla1[Unidades_Defectuosas]</f>
        <v>236</v>
      </c>
      <c r="M154" s="3" t="str">
        <f>IF(Tabla1[Minutos_Paro]=0,"Nula",IF(Tabla1[Minutos_Paro]&lt;30,"Baja",IF(Tabla1[Minutos_Paro]&lt;60,"Media","Alta")))</f>
        <v>Nula</v>
      </c>
      <c r="N154" s="3">
        <f>250</f>
        <v>250</v>
      </c>
      <c r="O154" s="4">
        <f>Tabla1[Unidades_Defectuosas] / Tabla1[Unidades_Producidas]</f>
        <v>1.2552301255230125E-2</v>
      </c>
      <c r="P154" s="4">
        <f>Tabla1[Unidades_Buenas] / Tabla1[Unidades_Producidas]</f>
        <v>0.9874476987447699</v>
      </c>
      <c r="Q154" s="3">
        <f>IF(Tabla1[Tipo_Defecto_Principal]="Falla de material", 3, IF(Tabla1[Tipo_Defecto_Principal]="Dimensión fuera de especificación", 2, 1))</f>
        <v>3</v>
      </c>
    </row>
    <row r="155" spans="1:17" x14ac:dyDescent="0.3">
      <c r="A155" s="2">
        <v>45212</v>
      </c>
      <c r="B155" t="s">
        <v>19</v>
      </c>
      <c r="C155" t="s">
        <v>12</v>
      </c>
      <c r="D155">
        <v>188</v>
      </c>
      <c r="E155">
        <v>11</v>
      </c>
      <c r="F155" t="s">
        <v>16</v>
      </c>
      <c r="G155">
        <v>0</v>
      </c>
      <c r="H155" t="s">
        <v>26</v>
      </c>
      <c r="I155">
        <f>(480 - Tabla1[Minutos_Paro]) / 60</f>
        <v>8</v>
      </c>
      <c r="J155" t="str">
        <f>IF(Tabla1[Unidades_Defectuosas] &gt; Tabla1[Unidades_Producidas], "ERROR", "OK")</f>
        <v>OK</v>
      </c>
      <c r="K155" s="1">
        <f>Tabla1[Minutos_Paro] / Tabla1[Unidades_Producidas]</f>
        <v>0</v>
      </c>
      <c r="L155">
        <f>Tabla1[Unidades_Producidas] - Tabla1[Unidades_Defectuosas]</f>
        <v>177</v>
      </c>
      <c r="M155" s="3" t="str">
        <f>IF(Tabla1[Minutos_Paro]=0,"Nula",IF(Tabla1[Minutos_Paro]&lt;30,"Baja",IF(Tabla1[Minutos_Paro]&lt;60,"Media","Alta")))</f>
        <v>Nula</v>
      </c>
      <c r="N155" s="3">
        <f>250</f>
        <v>250</v>
      </c>
      <c r="O155" s="4">
        <f>Tabla1[Unidades_Defectuosas] / Tabla1[Unidades_Producidas]</f>
        <v>5.8510638297872342E-2</v>
      </c>
      <c r="P155" s="4">
        <f>Tabla1[Unidades_Buenas] / Tabla1[Unidades_Producidas]</f>
        <v>0.94148936170212771</v>
      </c>
      <c r="Q155" s="3">
        <f>IF(Tabla1[Tipo_Defecto_Principal]="Falla de material", 3, IF(Tabla1[Tipo_Defecto_Principal]="Dimensión fuera de especificación", 2, 1))</f>
        <v>1</v>
      </c>
    </row>
    <row r="156" spans="1:17" x14ac:dyDescent="0.3">
      <c r="A156" s="2">
        <v>45212</v>
      </c>
      <c r="B156" t="s">
        <v>19</v>
      </c>
      <c r="C156" t="s">
        <v>13</v>
      </c>
      <c r="D156">
        <v>181</v>
      </c>
      <c r="E156">
        <v>3</v>
      </c>
      <c r="F156" t="s">
        <v>18</v>
      </c>
      <c r="G156">
        <v>0</v>
      </c>
      <c r="H156" t="s">
        <v>26</v>
      </c>
      <c r="I156">
        <f>(480 - Tabla1[Minutos_Paro]) / 60</f>
        <v>8</v>
      </c>
      <c r="J156" t="str">
        <f>IF(Tabla1[Unidades_Defectuosas] &gt; Tabla1[Unidades_Producidas], "ERROR", "OK")</f>
        <v>OK</v>
      </c>
      <c r="K156" s="1">
        <f>Tabla1[Minutos_Paro] / Tabla1[Unidades_Producidas]</f>
        <v>0</v>
      </c>
      <c r="L156">
        <f>Tabla1[Unidades_Producidas] - Tabla1[Unidades_Defectuosas]</f>
        <v>178</v>
      </c>
      <c r="M156" s="3" t="str">
        <f>IF(Tabla1[Minutos_Paro]=0,"Nula",IF(Tabla1[Minutos_Paro]&lt;30,"Baja",IF(Tabla1[Minutos_Paro]&lt;60,"Media","Alta")))</f>
        <v>Nula</v>
      </c>
      <c r="N156" s="3">
        <f>250</f>
        <v>250</v>
      </c>
      <c r="O156" s="4">
        <f>Tabla1[Unidades_Defectuosas] / Tabla1[Unidades_Producidas]</f>
        <v>1.6574585635359115E-2</v>
      </c>
      <c r="P156" s="4">
        <f>Tabla1[Unidades_Buenas] / Tabla1[Unidades_Producidas]</f>
        <v>0.98342541436464093</v>
      </c>
      <c r="Q156" s="3">
        <f>IF(Tabla1[Tipo_Defecto_Principal]="Falla de material", 3, IF(Tabla1[Tipo_Defecto_Principal]="Dimensión fuera de especificación", 2, 1))</f>
        <v>1</v>
      </c>
    </row>
    <row r="157" spans="1:17" x14ac:dyDescent="0.3">
      <c r="A157" s="2">
        <v>45212</v>
      </c>
      <c r="B157" t="s">
        <v>19</v>
      </c>
      <c r="C157" t="s">
        <v>15</v>
      </c>
      <c r="D157">
        <v>243</v>
      </c>
      <c r="E157">
        <v>11</v>
      </c>
      <c r="F157" t="s">
        <v>20</v>
      </c>
      <c r="G157">
        <v>0</v>
      </c>
      <c r="H157" t="s">
        <v>26</v>
      </c>
      <c r="I157">
        <f>(480 - Tabla1[Minutos_Paro]) / 60</f>
        <v>8</v>
      </c>
      <c r="J157" t="str">
        <f>IF(Tabla1[Unidades_Defectuosas] &gt; Tabla1[Unidades_Producidas], "ERROR", "OK")</f>
        <v>OK</v>
      </c>
      <c r="K157" s="1">
        <f>Tabla1[Minutos_Paro] / Tabla1[Unidades_Producidas]</f>
        <v>0</v>
      </c>
      <c r="L157">
        <f>Tabla1[Unidades_Producidas] - Tabla1[Unidades_Defectuosas]</f>
        <v>232</v>
      </c>
      <c r="M157" s="3" t="str">
        <f>IF(Tabla1[Minutos_Paro]=0,"Nula",IF(Tabla1[Minutos_Paro]&lt;30,"Baja",IF(Tabla1[Minutos_Paro]&lt;60,"Media","Alta")))</f>
        <v>Nula</v>
      </c>
      <c r="N157" s="3">
        <f>250</f>
        <v>250</v>
      </c>
      <c r="O157" s="4">
        <f>Tabla1[Unidades_Defectuosas] / Tabla1[Unidades_Producidas]</f>
        <v>4.5267489711934158E-2</v>
      </c>
      <c r="P157" s="4">
        <f>Tabla1[Unidades_Buenas] / Tabla1[Unidades_Producidas]</f>
        <v>0.95473251028806583</v>
      </c>
      <c r="Q157" s="3">
        <f>IF(Tabla1[Tipo_Defecto_Principal]="Falla de material", 3, IF(Tabla1[Tipo_Defecto_Principal]="Dimensión fuera de especificación", 2, 1))</f>
        <v>1</v>
      </c>
    </row>
    <row r="158" spans="1:17" x14ac:dyDescent="0.3">
      <c r="A158" s="2">
        <v>45213</v>
      </c>
      <c r="B158" t="s">
        <v>8</v>
      </c>
      <c r="C158" t="s">
        <v>9</v>
      </c>
      <c r="D158">
        <v>233</v>
      </c>
      <c r="E158">
        <v>4</v>
      </c>
      <c r="F158" t="s">
        <v>14</v>
      </c>
      <c r="G158">
        <v>0</v>
      </c>
      <c r="H158" t="s">
        <v>26</v>
      </c>
      <c r="I158">
        <f>(480 - Tabla1[Minutos_Paro]) / 60</f>
        <v>8</v>
      </c>
      <c r="J158" t="str">
        <f>IF(Tabla1[Unidades_Defectuosas] &gt; Tabla1[Unidades_Producidas], "ERROR", "OK")</f>
        <v>OK</v>
      </c>
      <c r="K158" s="1">
        <f>Tabla1[Minutos_Paro] / Tabla1[Unidades_Producidas]</f>
        <v>0</v>
      </c>
      <c r="L158">
        <f>Tabla1[Unidades_Producidas] - Tabla1[Unidades_Defectuosas]</f>
        <v>229</v>
      </c>
      <c r="M158" s="3" t="str">
        <f>IF(Tabla1[Minutos_Paro]=0,"Nula",IF(Tabla1[Minutos_Paro]&lt;30,"Baja",IF(Tabla1[Minutos_Paro]&lt;60,"Media","Alta")))</f>
        <v>Nula</v>
      </c>
      <c r="N158" s="3">
        <f>250</f>
        <v>250</v>
      </c>
      <c r="O158" s="4">
        <f>Tabla1[Unidades_Defectuosas] / Tabla1[Unidades_Producidas]</f>
        <v>1.7167381974248927E-2</v>
      </c>
      <c r="P158" s="4">
        <f>Tabla1[Unidades_Buenas] / Tabla1[Unidades_Producidas]</f>
        <v>0.98283261802575106</v>
      </c>
      <c r="Q158" s="3">
        <f>IF(Tabla1[Tipo_Defecto_Principal]="Falla de material", 3, IF(Tabla1[Tipo_Defecto_Principal]="Dimensión fuera de especificación", 2, 1))</f>
        <v>3</v>
      </c>
    </row>
    <row r="159" spans="1:17" x14ac:dyDescent="0.3">
      <c r="A159" s="2">
        <v>45213</v>
      </c>
      <c r="B159" t="s">
        <v>8</v>
      </c>
      <c r="C159" t="s">
        <v>12</v>
      </c>
      <c r="D159">
        <v>212</v>
      </c>
      <c r="E159">
        <v>23</v>
      </c>
      <c r="F159" t="s">
        <v>10</v>
      </c>
      <c r="G159">
        <v>15</v>
      </c>
      <c r="H159" t="s">
        <v>23</v>
      </c>
      <c r="I159">
        <f>(480 - Tabla1[Minutos_Paro]) / 60</f>
        <v>7.75</v>
      </c>
      <c r="J159" t="str">
        <f>IF(Tabla1[Unidades_Defectuosas] &gt; Tabla1[Unidades_Producidas], "ERROR", "OK")</f>
        <v>OK</v>
      </c>
      <c r="K159" s="1">
        <f>Tabla1[Minutos_Paro] / Tabla1[Unidades_Producidas]</f>
        <v>7.0754716981132074E-2</v>
      </c>
      <c r="L159">
        <f>Tabla1[Unidades_Producidas] - Tabla1[Unidades_Defectuosas]</f>
        <v>189</v>
      </c>
      <c r="M159" s="3" t="str">
        <f>IF(Tabla1[Minutos_Paro]=0,"Nula",IF(Tabla1[Minutos_Paro]&lt;30,"Baja",IF(Tabla1[Minutos_Paro]&lt;60,"Media","Alta")))</f>
        <v>Baja</v>
      </c>
      <c r="N159" s="3">
        <f>250</f>
        <v>250</v>
      </c>
      <c r="O159" s="4">
        <f>Tabla1[Unidades_Defectuosas] / Tabla1[Unidades_Producidas]</f>
        <v>0.10849056603773585</v>
      </c>
      <c r="P159" s="4">
        <f>Tabla1[Unidades_Buenas] / Tabla1[Unidades_Producidas]</f>
        <v>0.89150943396226412</v>
      </c>
      <c r="Q159" s="3">
        <f>IF(Tabla1[Tipo_Defecto_Principal]="Falla de material", 3, IF(Tabla1[Tipo_Defecto_Principal]="Dimensión fuera de especificación", 2, 1))</f>
        <v>2</v>
      </c>
    </row>
    <row r="160" spans="1:17" x14ac:dyDescent="0.3">
      <c r="A160" s="2">
        <v>45213</v>
      </c>
      <c r="B160" t="s">
        <v>8</v>
      </c>
      <c r="C160" t="s">
        <v>13</v>
      </c>
      <c r="D160">
        <v>201</v>
      </c>
      <c r="E160">
        <v>5</v>
      </c>
      <c r="F160" t="s">
        <v>16</v>
      </c>
      <c r="G160">
        <v>0</v>
      </c>
      <c r="H160" t="s">
        <v>26</v>
      </c>
      <c r="I160">
        <f>(480 - Tabla1[Minutos_Paro]) / 60</f>
        <v>8</v>
      </c>
      <c r="J160" t="str">
        <f>IF(Tabla1[Unidades_Defectuosas] &gt; Tabla1[Unidades_Producidas], "ERROR", "OK")</f>
        <v>OK</v>
      </c>
      <c r="K160" s="1">
        <f>Tabla1[Minutos_Paro] / Tabla1[Unidades_Producidas]</f>
        <v>0</v>
      </c>
      <c r="L160">
        <f>Tabla1[Unidades_Producidas] - Tabla1[Unidades_Defectuosas]</f>
        <v>196</v>
      </c>
      <c r="M160" s="3" t="str">
        <f>IF(Tabla1[Minutos_Paro]=0,"Nula",IF(Tabla1[Minutos_Paro]&lt;30,"Baja",IF(Tabla1[Minutos_Paro]&lt;60,"Media","Alta")))</f>
        <v>Nula</v>
      </c>
      <c r="N160" s="3">
        <f>250</f>
        <v>250</v>
      </c>
      <c r="O160" s="4">
        <f>Tabla1[Unidades_Defectuosas] / Tabla1[Unidades_Producidas]</f>
        <v>2.4875621890547265E-2</v>
      </c>
      <c r="P160" s="4">
        <f>Tabla1[Unidades_Buenas] / Tabla1[Unidades_Producidas]</f>
        <v>0.97512437810945274</v>
      </c>
      <c r="Q160" s="3">
        <f>IF(Tabla1[Tipo_Defecto_Principal]="Falla de material", 3, IF(Tabla1[Tipo_Defecto_Principal]="Dimensión fuera de especificación", 2, 1))</f>
        <v>1</v>
      </c>
    </row>
    <row r="161" spans="1:17" x14ac:dyDescent="0.3">
      <c r="A161" s="2">
        <v>45213</v>
      </c>
      <c r="B161" t="s">
        <v>8</v>
      </c>
      <c r="C161" t="s">
        <v>15</v>
      </c>
      <c r="D161">
        <v>240</v>
      </c>
      <c r="E161">
        <v>4</v>
      </c>
      <c r="F161" t="s">
        <v>16</v>
      </c>
      <c r="G161">
        <v>0</v>
      </c>
      <c r="H161" t="s">
        <v>26</v>
      </c>
      <c r="I161">
        <f>(480 - Tabla1[Minutos_Paro]) / 60</f>
        <v>8</v>
      </c>
      <c r="J161" t="str">
        <f>IF(Tabla1[Unidades_Defectuosas] &gt; Tabla1[Unidades_Producidas], "ERROR", "OK")</f>
        <v>OK</v>
      </c>
      <c r="K161" s="1">
        <f>Tabla1[Minutos_Paro] / Tabla1[Unidades_Producidas]</f>
        <v>0</v>
      </c>
      <c r="L161">
        <f>Tabla1[Unidades_Producidas] - Tabla1[Unidades_Defectuosas]</f>
        <v>236</v>
      </c>
      <c r="M161" s="3" t="str">
        <f>IF(Tabla1[Minutos_Paro]=0,"Nula",IF(Tabla1[Minutos_Paro]&lt;30,"Baja",IF(Tabla1[Minutos_Paro]&lt;60,"Media","Alta")))</f>
        <v>Nula</v>
      </c>
      <c r="N161" s="3">
        <f>250</f>
        <v>250</v>
      </c>
      <c r="O161" s="4">
        <f>Tabla1[Unidades_Defectuosas] / Tabla1[Unidades_Producidas]</f>
        <v>1.6666666666666666E-2</v>
      </c>
      <c r="P161" s="4">
        <f>Tabla1[Unidades_Buenas] / Tabla1[Unidades_Producidas]</f>
        <v>0.98333333333333328</v>
      </c>
      <c r="Q161" s="3">
        <f>IF(Tabla1[Tipo_Defecto_Principal]="Falla de material", 3, IF(Tabla1[Tipo_Defecto_Principal]="Dimensión fuera de especificación", 2, 1))</f>
        <v>1</v>
      </c>
    </row>
    <row r="162" spans="1:17" x14ac:dyDescent="0.3">
      <c r="A162" s="2">
        <v>45213</v>
      </c>
      <c r="B162" t="s">
        <v>17</v>
      </c>
      <c r="C162" t="s">
        <v>9</v>
      </c>
      <c r="D162">
        <v>187</v>
      </c>
      <c r="E162">
        <v>10</v>
      </c>
      <c r="F162" t="s">
        <v>16</v>
      </c>
      <c r="G162">
        <v>0</v>
      </c>
      <c r="H162" t="s">
        <v>26</v>
      </c>
      <c r="I162">
        <f>(480 - Tabla1[Minutos_Paro]) / 60</f>
        <v>8</v>
      </c>
      <c r="J162" t="str">
        <f>IF(Tabla1[Unidades_Defectuosas] &gt; Tabla1[Unidades_Producidas], "ERROR", "OK")</f>
        <v>OK</v>
      </c>
      <c r="K162" s="1">
        <f>Tabla1[Minutos_Paro] / Tabla1[Unidades_Producidas]</f>
        <v>0</v>
      </c>
      <c r="L162">
        <f>Tabla1[Unidades_Producidas] - Tabla1[Unidades_Defectuosas]</f>
        <v>177</v>
      </c>
      <c r="M162" s="3" t="str">
        <f>IF(Tabla1[Minutos_Paro]=0,"Nula",IF(Tabla1[Minutos_Paro]&lt;30,"Baja",IF(Tabla1[Minutos_Paro]&lt;60,"Media","Alta")))</f>
        <v>Nula</v>
      </c>
      <c r="N162" s="3">
        <f>250</f>
        <v>250</v>
      </c>
      <c r="O162" s="4">
        <f>Tabla1[Unidades_Defectuosas] / Tabla1[Unidades_Producidas]</f>
        <v>5.3475935828877004E-2</v>
      </c>
      <c r="P162" s="4">
        <f>Tabla1[Unidades_Buenas] / Tabla1[Unidades_Producidas]</f>
        <v>0.946524064171123</v>
      </c>
      <c r="Q162" s="3">
        <f>IF(Tabla1[Tipo_Defecto_Principal]="Falla de material", 3, IF(Tabla1[Tipo_Defecto_Principal]="Dimensión fuera de especificación", 2, 1))</f>
        <v>1</v>
      </c>
    </row>
    <row r="163" spans="1:17" x14ac:dyDescent="0.3">
      <c r="A163" s="2">
        <v>45213</v>
      </c>
      <c r="B163" t="s">
        <v>17</v>
      </c>
      <c r="C163" t="s">
        <v>12</v>
      </c>
      <c r="D163">
        <v>193</v>
      </c>
      <c r="E163">
        <v>9</v>
      </c>
      <c r="F163" t="s">
        <v>10</v>
      </c>
      <c r="G163">
        <v>0</v>
      </c>
      <c r="H163" t="s">
        <v>26</v>
      </c>
      <c r="I163">
        <f>(480 - Tabla1[Minutos_Paro]) / 60</f>
        <v>8</v>
      </c>
      <c r="J163" t="str">
        <f>IF(Tabla1[Unidades_Defectuosas] &gt; Tabla1[Unidades_Producidas], "ERROR", "OK")</f>
        <v>OK</v>
      </c>
      <c r="K163" s="1">
        <f>Tabla1[Minutos_Paro] / Tabla1[Unidades_Producidas]</f>
        <v>0</v>
      </c>
      <c r="L163">
        <f>Tabla1[Unidades_Producidas] - Tabla1[Unidades_Defectuosas]</f>
        <v>184</v>
      </c>
      <c r="M163" s="3" t="str">
        <f>IF(Tabla1[Minutos_Paro]=0,"Nula",IF(Tabla1[Minutos_Paro]&lt;30,"Baja",IF(Tabla1[Minutos_Paro]&lt;60,"Media","Alta")))</f>
        <v>Nula</v>
      </c>
      <c r="N163" s="3">
        <f>250</f>
        <v>250</v>
      </c>
      <c r="O163" s="4">
        <f>Tabla1[Unidades_Defectuosas] / Tabla1[Unidades_Producidas]</f>
        <v>4.6632124352331605E-2</v>
      </c>
      <c r="P163" s="4">
        <f>Tabla1[Unidades_Buenas] / Tabla1[Unidades_Producidas]</f>
        <v>0.95336787564766834</v>
      </c>
      <c r="Q163" s="3">
        <f>IF(Tabla1[Tipo_Defecto_Principal]="Falla de material", 3, IF(Tabla1[Tipo_Defecto_Principal]="Dimensión fuera de especificación", 2, 1))</f>
        <v>2</v>
      </c>
    </row>
    <row r="164" spans="1:17" x14ac:dyDescent="0.3">
      <c r="A164" s="2">
        <v>45213</v>
      </c>
      <c r="B164" t="s">
        <v>17</v>
      </c>
      <c r="C164" t="s">
        <v>13</v>
      </c>
      <c r="D164">
        <v>192</v>
      </c>
      <c r="E164">
        <v>7</v>
      </c>
      <c r="F164" t="s">
        <v>16</v>
      </c>
      <c r="G164">
        <v>0</v>
      </c>
      <c r="H164" t="s">
        <v>26</v>
      </c>
      <c r="I164">
        <f>(480 - Tabla1[Minutos_Paro]) / 60</f>
        <v>8</v>
      </c>
      <c r="J164" t="str">
        <f>IF(Tabla1[Unidades_Defectuosas] &gt; Tabla1[Unidades_Producidas], "ERROR", "OK")</f>
        <v>OK</v>
      </c>
      <c r="K164" s="1">
        <f>Tabla1[Minutos_Paro] / Tabla1[Unidades_Producidas]</f>
        <v>0</v>
      </c>
      <c r="L164">
        <f>Tabla1[Unidades_Producidas] - Tabla1[Unidades_Defectuosas]</f>
        <v>185</v>
      </c>
      <c r="M164" s="3" t="str">
        <f>IF(Tabla1[Minutos_Paro]=0,"Nula",IF(Tabla1[Minutos_Paro]&lt;30,"Baja",IF(Tabla1[Minutos_Paro]&lt;60,"Media","Alta")))</f>
        <v>Nula</v>
      </c>
      <c r="N164" s="3">
        <f>250</f>
        <v>250</v>
      </c>
      <c r="O164" s="4">
        <f>Tabla1[Unidades_Defectuosas] / Tabla1[Unidades_Producidas]</f>
        <v>3.6458333333333336E-2</v>
      </c>
      <c r="P164" s="4">
        <f>Tabla1[Unidades_Buenas] / Tabla1[Unidades_Producidas]</f>
        <v>0.96354166666666663</v>
      </c>
      <c r="Q164" s="3">
        <f>IF(Tabla1[Tipo_Defecto_Principal]="Falla de material", 3, IF(Tabla1[Tipo_Defecto_Principal]="Dimensión fuera de especificación", 2, 1))</f>
        <v>1</v>
      </c>
    </row>
    <row r="165" spans="1:17" x14ac:dyDescent="0.3">
      <c r="A165" s="2">
        <v>45213</v>
      </c>
      <c r="B165" t="s">
        <v>17</v>
      </c>
      <c r="C165" t="s">
        <v>15</v>
      </c>
      <c r="D165">
        <v>249</v>
      </c>
      <c r="E165">
        <v>8</v>
      </c>
      <c r="F165" t="s">
        <v>10</v>
      </c>
      <c r="G165">
        <v>0</v>
      </c>
      <c r="H165" t="s">
        <v>26</v>
      </c>
      <c r="I165">
        <f>(480 - Tabla1[Minutos_Paro]) / 60</f>
        <v>8</v>
      </c>
      <c r="J165" t="str">
        <f>IF(Tabla1[Unidades_Defectuosas] &gt; Tabla1[Unidades_Producidas], "ERROR", "OK")</f>
        <v>OK</v>
      </c>
      <c r="K165" s="1">
        <f>Tabla1[Minutos_Paro] / Tabla1[Unidades_Producidas]</f>
        <v>0</v>
      </c>
      <c r="L165">
        <f>Tabla1[Unidades_Producidas] - Tabla1[Unidades_Defectuosas]</f>
        <v>241</v>
      </c>
      <c r="M165" s="3" t="str">
        <f>IF(Tabla1[Minutos_Paro]=0,"Nula",IF(Tabla1[Minutos_Paro]&lt;30,"Baja",IF(Tabla1[Minutos_Paro]&lt;60,"Media","Alta")))</f>
        <v>Nula</v>
      </c>
      <c r="N165" s="3">
        <f>250</f>
        <v>250</v>
      </c>
      <c r="O165" s="4">
        <f>Tabla1[Unidades_Defectuosas] / Tabla1[Unidades_Producidas]</f>
        <v>3.2128514056224897E-2</v>
      </c>
      <c r="P165" s="4">
        <f>Tabla1[Unidades_Buenas] / Tabla1[Unidades_Producidas]</f>
        <v>0.96787148594377514</v>
      </c>
      <c r="Q165" s="3">
        <f>IF(Tabla1[Tipo_Defecto_Principal]="Falla de material", 3, IF(Tabla1[Tipo_Defecto_Principal]="Dimensión fuera de especificación", 2, 1))</f>
        <v>2</v>
      </c>
    </row>
    <row r="166" spans="1:17" x14ac:dyDescent="0.3">
      <c r="A166" s="2">
        <v>45213</v>
      </c>
      <c r="B166" t="s">
        <v>19</v>
      </c>
      <c r="C166" t="s">
        <v>9</v>
      </c>
      <c r="D166">
        <v>228</v>
      </c>
      <c r="E166">
        <v>7</v>
      </c>
      <c r="F166" t="s">
        <v>20</v>
      </c>
      <c r="G166">
        <v>15</v>
      </c>
      <c r="H166" t="s">
        <v>21</v>
      </c>
      <c r="I166">
        <f>(480 - Tabla1[Minutos_Paro]) / 60</f>
        <v>7.75</v>
      </c>
      <c r="J166" t="str">
        <f>IF(Tabla1[Unidades_Defectuosas] &gt; Tabla1[Unidades_Producidas], "ERROR", "OK")</f>
        <v>OK</v>
      </c>
      <c r="K166" s="1">
        <f>Tabla1[Minutos_Paro] / Tabla1[Unidades_Producidas]</f>
        <v>6.5789473684210523E-2</v>
      </c>
      <c r="L166">
        <f>Tabla1[Unidades_Producidas] - Tabla1[Unidades_Defectuosas]</f>
        <v>221</v>
      </c>
      <c r="M166" s="3" t="str">
        <f>IF(Tabla1[Minutos_Paro]=0,"Nula",IF(Tabla1[Minutos_Paro]&lt;30,"Baja",IF(Tabla1[Minutos_Paro]&lt;60,"Media","Alta")))</f>
        <v>Baja</v>
      </c>
      <c r="N166" s="3">
        <f>250</f>
        <v>250</v>
      </c>
      <c r="O166" s="4">
        <f>Tabla1[Unidades_Defectuosas] / Tabla1[Unidades_Producidas]</f>
        <v>3.0701754385964911E-2</v>
      </c>
      <c r="P166" s="4">
        <f>Tabla1[Unidades_Buenas] / Tabla1[Unidades_Producidas]</f>
        <v>0.9692982456140351</v>
      </c>
      <c r="Q166" s="3">
        <f>IF(Tabla1[Tipo_Defecto_Principal]="Falla de material", 3, IF(Tabla1[Tipo_Defecto_Principal]="Dimensión fuera de especificación", 2, 1))</f>
        <v>1</v>
      </c>
    </row>
    <row r="167" spans="1:17" x14ac:dyDescent="0.3">
      <c r="A167" s="2">
        <v>45213</v>
      </c>
      <c r="B167" t="s">
        <v>19</v>
      </c>
      <c r="C167" t="s">
        <v>12</v>
      </c>
      <c r="D167">
        <v>215</v>
      </c>
      <c r="E167">
        <v>18</v>
      </c>
      <c r="F167" t="s">
        <v>10</v>
      </c>
      <c r="G167">
        <v>0</v>
      </c>
      <c r="H167" t="s">
        <v>26</v>
      </c>
      <c r="I167">
        <f>(480 - Tabla1[Minutos_Paro]) / 60</f>
        <v>8</v>
      </c>
      <c r="J167" t="str">
        <f>IF(Tabla1[Unidades_Defectuosas] &gt; Tabla1[Unidades_Producidas], "ERROR", "OK")</f>
        <v>OK</v>
      </c>
      <c r="K167" s="1">
        <f>Tabla1[Minutos_Paro] / Tabla1[Unidades_Producidas]</f>
        <v>0</v>
      </c>
      <c r="L167">
        <f>Tabla1[Unidades_Producidas] - Tabla1[Unidades_Defectuosas]</f>
        <v>197</v>
      </c>
      <c r="M167" s="3" t="str">
        <f>IF(Tabla1[Minutos_Paro]=0,"Nula",IF(Tabla1[Minutos_Paro]&lt;30,"Baja",IF(Tabla1[Minutos_Paro]&lt;60,"Media","Alta")))</f>
        <v>Nula</v>
      </c>
      <c r="N167" s="3">
        <f>250</f>
        <v>250</v>
      </c>
      <c r="O167" s="4">
        <f>Tabla1[Unidades_Defectuosas] / Tabla1[Unidades_Producidas]</f>
        <v>8.3720930232558138E-2</v>
      </c>
      <c r="P167" s="4">
        <f>Tabla1[Unidades_Buenas] / Tabla1[Unidades_Producidas]</f>
        <v>0.91627906976744189</v>
      </c>
      <c r="Q167" s="3">
        <f>IF(Tabla1[Tipo_Defecto_Principal]="Falla de material", 3, IF(Tabla1[Tipo_Defecto_Principal]="Dimensión fuera de especificación", 2, 1))</f>
        <v>2</v>
      </c>
    </row>
    <row r="168" spans="1:17" x14ac:dyDescent="0.3">
      <c r="A168" s="2">
        <v>45213</v>
      </c>
      <c r="B168" t="s">
        <v>19</v>
      </c>
      <c r="C168" t="s">
        <v>13</v>
      </c>
      <c r="D168">
        <v>218</v>
      </c>
      <c r="E168">
        <v>7</v>
      </c>
      <c r="F168" t="s">
        <v>18</v>
      </c>
      <c r="G168">
        <v>0</v>
      </c>
      <c r="H168" t="s">
        <v>26</v>
      </c>
      <c r="I168">
        <f>(480 - Tabla1[Minutos_Paro]) / 60</f>
        <v>8</v>
      </c>
      <c r="J168" t="str">
        <f>IF(Tabla1[Unidades_Defectuosas] &gt; Tabla1[Unidades_Producidas], "ERROR", "OK")</f>
        <v>OK</v>
      </c>
      <c r="K168" s="1">
        <f>Tabla1[Minutos_Paro] / Tabla1[Unidades_Producidas]</f>
        <v>0</v>
      </c>
      <c r="L168">
        <f>Tabla1[Unidades_Producidas] - Tabla1[Unidades_Defectuosas]</f>
        <v>211</v>
      </c>
      <c r="M168" s="3" t="str">
        <f>IF(Tabla1[Minutos_Paro]=0,"Nula",IF(Tabla1[Minutos_Paro]&lt;30,"Baja",IF(Tabla1[Minutos_Paro]&lt;60,"Media","Alta")))</f>
        <v>Nula</v>
      </c>
      <c r="N168" s="3">
        <f>250</f>
        <v>250</v>
      </c>
      <c r="O168" s="4">
        <f>Tabla1[Unidades_Defectuosas] / Tabla1[Unidades_Producidas]</f>
        <v>3.2110091743119268E-2</v>
      </c>
      <c r="P168" s="4">
        <f>Tabla1[Unidades_Buenas] / Tabla1[Unidades_Producidas]</f>
        <v>0.9678899082568807</v>
      </c>
      <c r="Q168" s="3">
        <f>IF(Tabla1[Tipo_Defecto_Principal]="Falla de material", 3, IF(Tabla1[Tipo_Defecto_Principal]="Dimensión fuera de especificación", 2, 1))</f>
        <v>1</v>
      </c>
    </row>
    <row r="169" spans="1:17" x14ac:dyDescent="0.3">
      <c r="A169" s="2">
        <v>45213</v>
      </c>
      <c r="B169" t="s">
        <v>19</v>
      </c>
      <c r="C169" t="s">
        <v>15</v>
      </c>
      <c r="D169">
        <v>221</v>
      </c>
      <c r="E169">
        <v>8</v>
      </c>
      <c r="F169" t="s">
        <v>20</v>
      </c>
      <c r="G169">
        <v>0</v>
      </c>
      <c r="H169" t="s">
        <v>26</v>
      </c>
      <c r="I169">
        <f>(480 - Tabla1[Minutos_Paro]) / 60</f>
        <v>8</v>
      </c>
      <c r="J169" t="str">
        <f>IF(Tabla1[Unidades_Defectuosas] &gt; Tabla1[Unidades_Producidas], "ERROR", "OK")</f>
        <v>OK</v>
      </c>
      <c r="K169" s="1">
        <f>Tabla1[Minutos_Paro] / Tabla1[Unidades_Producidas]</f>
        <v>0</v>
      </c>
      <c r="L169">
        <f>Tabla1[Unidades_Producidas] - Tabla1[Unidades_Defectuosas]</f>
        <v>213</v>
      </c>
      <c r="M169" s="3" t="str">
        <f>IF(Tabla1[Minutos_Paro]=0,"Nula",IF(Tabla1[Minutos_Paro]&lt;30,"Baja",IF(Tabla1[Minutos_Paro]&lt;60,"Media","Alta")))</f>
        <v>Nula</v>
      </c>
      <c r="N169" s="3">
        <f>250</f>
        <v>250</v>
      </c>
      <c r="O169" s="4">
        <f>Tabla1[Unidades_Defectuosas] / Tabla1[Unidades_Producidas]</f>
        <v>3.6199095022624438E-2</v>
      </c>
      <c r="P169" s="4">
        <f>Tabla1[Unidades_Buenas] / Tabla1[Unidades_Producidas]</f>
        <v>0.96380090497737558</v>
      </c>
      <c r="Q169" s="3">
        <f>IF(Tabla1[Tipo_Defecto_Principal]="Falla de material", 3, IF(Tabla1[Tipo_Defecto_Principal]="Dimensión fuera de especificación", 2, 1))</f>
        <v>1</v>
      </c>
    </row>
    <row r="170" spans="1:17" x14ac:dyDescent="0.3">
      <c r="A170" s="2">
        <v>45214</v>
      </c>
      <c r="B170" t="s">
        <v>8</v>
      </c>
      <c r="C170" t="s">
        <v>9</v>
      </c>
      <c r="D170">
        <v>181</v>
      </c>
      <c r="E170">
        <v>5</v>
      </c>
      <c r="F170" t="s">
        <v>16</v>
      </c>
      <c r="G170">
        <v>0</v>
      </c>
      <c r="H170" t="s">
        <v>26</v>
      </c>
      <c r="I170">
        <f>(480 - Tabla1[Minutos_Paro]) / 60</f>
        <v>8</v>
      </c>
      <c r="J170" t="str">
        <f>IF(Tabla1[Unidades_Defectuosas] &gt; Tabla1[Unidades_Producidas], "ERROR", "OK")</f>
        <v>OK</v>
      </c>
      <c r="K170" s="1">
        <f>Tabla1[Minutos_Paro] / Tabla1[Unidades_Producidas]</f>
        <v>0</v>
      </c>
      <c r="L170">
        <f>Tabla1[Unidades_Producidas] - Tabla1[Unidades_Defectuosas]</f>
        <v>176</v>
      </c>
      <c r="M170" s="3" t="str">
        <f>IF(Tabla1[Minutos_Paro]=0,"Nula",IF(Tabla1[Minutos_Paro]&lt;30,"Baja",IF(Tabla1[Minutos_Paro]&lt;60,"Media","Alta")))</f>
        <v>Nula</v>
      </c>
      <c r="N170" s="3">
        <f>250</f>
        <v>250</v>
      </c>
      <c r="O170" s="4">
        <f>Tabla1[Unidades_Defectuosas] / Tabla1[Unidades_Producidas]</f>
        <v>2.7624309392265192E-2</v>
      </c>
      <c r="P170" s="4">
        <f>Tabla1[Unidades_Buenas] / Tabla1[Unidades_Producidas]</f>
        <v>0.97237569060773477</v>
      </c>
      <c r="Q170" s="3">
        <f>IF(Tabla1[Tipo_Defecto_Principal]="Falla de material", 3, IF(Tabla1[Tipo_Defecto_Principal]="Dimensión fuera de especificación", 2, 1))</f>
        <v>1</v>
      </c>
    </row>
    <row r="171" spans="1:17" x14ac:dyDescent="0.3">
      <c r="A171" s="2">
        <v>45214</v>
      </c>
      <c r="B171" t="s">
        <v>8</v>
      </c>
      <c r="C171" t="s">
        <v>12</v>
      </c>
      <c r="D171">
        <v>235</v>
      </c>
      <c r="E171">
        <v>17</v>
      </c>
      <c r="F171" t="s">
        <v>10</v>
      </c>
      <c r="G171">
        <v>0</v>
      </c>
      <c r="H171" t="s">
        <v>26</v>
      </c>
      <c r="I171">
        <f>(480 - Tabla1[Minutos_Paro]) / 60</f>
        <v>8</v>
      </c>
      <c r="J171" t="str">
        <f>IF(Tabla1[Unidades_Defectuosas] &gt; Tabla1[Unidades_Producidas], "ERROR", "OK")</f>
        <v>OK</v>
      </c>
      <c r="K171" s="1">
        <f>Tabla1[Minutos_Paro] / Tabla1[Unidades_Producidas]</f>
        <v>0</v>
      </c>
      <c r="L171">
        <f>Tabla1[Unidades_Producidas] - Tabla1[Unidades_Defectuosas]</f>
        <v>218</v>
      </c>
      <c r="M171" s="3" t="str">
        <f>IF(Tabla1[Minutos_Paro]=0,"Nula",IF(Tabla1[Minutos_Paro]&lt;30,"Baja",IF(Tabla1[Minutos_Paro]&lt;60,"Media","Alta")))</f>
        <v>Nula</v>
      </c>
      <c r="N171" s="3">
        <f>250</f>
        <v>250</v>
      </c>
      <c r="O171" s="4">
        <f>Tabla1[Unidades_Defectuosas] / Tabla1[Unidades_Producidas]</f>
        <v>7.2340425531914887E-2</v>
      </c>
      <c r="P171" s="4">
        <f>Tabla1[Unidades_Buenas] / Tabla1[Unidades_Producidas]</f>
        <v>0.92765957446808511</v>
      </c>
      <c r="Q171" s="3">
        <f>IF(Tabla1[Tipo_Defecto_Principal]="Falla de material", 3, IF(Tabla1[Tipo_Defecto_Principal]="Dimensión fuera de especificación", 2, 1))</f>
        <v>2</v>
      </c>
    </row>
    <row r="172" spans="1:17" x14ac:dyDescent="0.3">
      <c r="A172" s="2">
        <v>45214</v>
      </c>
      <c r="B172" t="s">
        <v>8</v>
      </c>
      <c r="C172" t="s">
        <v>13</v>
      </c>
      <c r="D172">
        <v>189</v>
      </c>
      <c r="E172">
        <v>3</v>
      </c>
      <c r="F172" t="s">
        <v>18</v>
      </c>
      <c r="G172">
        <v>15</v>
      </c>
      <c r="H172" t="s">
        <v>21</v>
      </c>
      <c r="I172">
        <f>(480 - Tabla1[Minutos_Paro]) / 60</f>
        <v>7.75</v>
      </c>
      <c r="J172" t="str">
        <f>IF(Tabla1[Unidades_Defectuosas] &gt; Tabla1[Unidades_Producidas], "ERROR", "OK")</f>
        <v>OK</v>
      </c>
      <c r="K172" s="1">
        <f>Tabla1[Minutos_Paro] / Tabla1[Unidades_Producidas]</f>
        <v>7.9365079365079361E-2</v>
      </c>
      <c r="L172">
        <f>Tabla1[Unidades_Producidas] - Tabla1[Unidades_Defectuosas]</f>
        <v>186</v>
      </c>
      <c r="M172" s="3" t="str">
        <f>IF(Tabla1[Minutos_Paro]=0,"Nula",IF(Tabla1[Minutos_Paro]&lt;30,"Baja",IF(Tabla1[Minutos_Paro]&lt;60,"Media","Alta")))</f>
        <v>Baja</v>
      </c>
      <c r="N172" s="3">
        <f>250</f>
        <v>250</v>
      </c>
      <c r="O172" s="4">
        <f>Tabla1[Unidades_Defectuosas] / Tabla1[Unidades_Producidas]</f>
        <v>1.5873015873015872E-2</v>
      </c>
      <c r="P172" s="4">
        <f>Tabla1[Unidades_Buenas] / Tabla1[Unidades_Producidas]</f>
        <v>0.98412698412698407</v>
      </c>
      <c r="Q172" s="3">
        <f>IF(Tabla1[Tipo_Defecto_Principal]="Falla de material", 3, IF(Tabla1[Tipo_Defecto_Principal]="Dimensión fuera de especificación", 2, 1))</f>
        <v>1</v>
      </c>
    </row>
    <row r="173" spans="1:17" x14ac:dyDescent="0.3">
      <c r="A173" s="2">
        <v>45214</v>
      </c>
      <c r="B173" t="s">
        <v>8</v>
      </c>
      <c r="C173" t="s">
        <v>15</v>
      </c>
      <c r="D173">
        <v>184</v>
      </c>
      <c r="E173">
        <v>4</v>
      </c>
      <c r="F173" t="s">
        <v>16</v>
      </c>
      <c r="G173">
        <v>0</v>
      </c>
      <c r="H173" t="s">
        <v>26</v>
      </c>
      <c r="I173">
        <f>(480 - Tabla1[Minutos_Paro]) / 60</f>
        <v>8</v>
      </c>
      <c r="J173" t="str">
        <f>IF(Tabla1[Unidades_Defectuosas] &gt; Tabla1[Unidades_Producidas], "ERROR", "OK")</f>
        <v>OK</v>
      </c>
      <c r="K173" s="1">
        <f>Tabla1[Minutos_Paro] / Tabla1[Unidades_Producidas]</f>
        <v>0</v>
      </c>
      <c r="L173">
        <f>Tabla1[Unidades_Producidas] - Tabla1[Unidades_Defectuosas]</f>
        <v>180</v>
      </c>
      <c r="M173" s="3" t="str">
        <f>IF(Tabla1[Minutos_Paro]=0,"Nula",IF(Tabla1[Minutos_Paro]&lt;30,"Baja",IF(Tabla1[Minutos_Paro]&lt;60,"Media","Alta")))</f>
        <v>Nula</v>
      </c>
      <c r="N173" s="3">
        <f>250</f>
        <v>250</v>
      </c>
      <c r="O173" s="4">
        <f>Tabla1[Unidades_Defectuosas] / Tabla1[Unidades_Producidas]</f>
        <v>2.1739130434782608E-2</v>
      </c>
      <c r="P173" s="4">
        <f>Tabla1[Unidades_Buenas] / Tabla1[Unidades_Producidas]</f>
        <v>0.97826086956521741</v>
      </c>
      <c r="Q173" s="3">
        <f>IF(Tabla1[Tipo_Defecto_Principal]="Falla de material", 3, IF(Tabla1[Tipo_Defecto_Principal]="Dimensión fuera de especificación", 2, 1))</f>
        <v>1</v>
      </c>
    </row>
    <row r="174" spans="1:17" x14ac:dyDescent="0.3">
      <c r="A174" s="2">
        <v>45214</v>
      </c>
      <c r="B174" t="s">
        <v>17</v>
      </c>
      <c r="C174" t="s">
        <v>9</v>
      </c>
      <c r="D174">
        <v>216</v>
      </c>
      <c r="E174">
        <v>8</v>
      </c>
      <c r="F174" t="s">
        <v>18</v>
      </c>
      <c r="G174">
        <v>120</v>
      </c>
      <c r="H174" t="s">
        <v>21</v>
      </c>
      <c r="I174">
        <f>(480 - Tabla1[Minutos_Paro]) / 60</f>
        <v>6</v>
      </c>
      <c r="J174" t="str">
        <f>IF(Tabla1[Unidades_Defectuosas] &gt; Tabla1[Unidades_Producidas], "ERROR", "OK")</f>
        <v>OK</v>
      </c>
      <c r="K174" s="1">
        <f>Tabla1[Minutos_Paro] / Tabla1[Unidades_Producidas]</f>
        <v>0.55555555555555558</v>
      </c>
      <c r="L174">
        <f>Tabla1[Unidades_Producidas] - Tabla1[Unidades_Defectuosas]</f>
        <v>208</v>
      </c>
      <c r="M174" s="3" t="str">
        <f>IF(Tabla1[Minutos_Paro]=0,"Nula",IF(Tabla1[Minutos_Paro]&lt;30,"Baja",IF(Tabla1[Minutos_Paro]&lt;60,"Media","Alta")))</f>
        <v>Alta</v>
      </c>
      <c r="N174" s="3">
        <f>250</f>
        <v>250</v>
      </c>
      <c r="O174" s="4">
        <f>Tabla1[Unidades_Defectuosas] / Tabla1[Unidades_Producidas]</f>
        <v>3.7037037037037035E-2</v>
      </c>
      <c r="P174" s="4">
        <f>Tabla1[Unidades_Buenas] / Tabla1[Unidades_Producidas]</f>
        <v>0.96296296296296291</v>
      </c>
      <c r="Q174" s="3">
        <f>IF(Tabla1[Tipo_Defecto_Principal]="Falla de material", 3, IF(Tabla1[Tipo_Defecto_Principal]="Dimensión fuera de especificación", 2, 1))</f>
        <v>1</v>
      </c>
    </row>
    <row r="175" spans="1:17" x14ac:dyDescent="0.3">
      <c r="A175" s="2">
        <v>45214</v>
      </c>
      <c r="B175" t="s">
        <v>17</v>
      </c>
      <c r="C175" t="s">
        <v>12</v>
      </c>
      <c r="D175">
        <v>216</v>
      </c>
      <c r="E175">
        <v>25</v>
      </c>
      <c r="F175" t="s">
        <v>10</v>
      </c>
      <c r="G175">
        <v>0</v>
      </c>
      <c r="H175" t="s">
        <v>26</v>
      </c>
      <c r="I175">
        <f>(480 - Tabla1[Minutos_Paro]) / 60</f>
        <v>8</v>
      </c>
      <c r="J175" t="str">
        <f>IF(Tabla1[Unidades_Defectuosas] &gt; Tabla1[Unidades_Producidas], "ERROR", "OK")</f>
        <v>OK</v>
      </c>
      <c r="K175" s="1">
        <f>Tabla1[Minutos_Paro] / Tabla1[Unidades_Producidas]</f>
        <v>0</v>
      </c>
      <c r="L175">
        <f>Tabla1[Unidades_Producidas] - Tabla1[Unidades_Defectuosas]</f>
        <v>191</v>
      </c>
      <c r="M175" s="3" t="str">
        <f>IF(Tabla1[Minutos_Paro]=0,"Nula",IF(Tabla1[Minutos_Paro]&lt;30,"Baja",IF(Tabla1[Minutos_Paro]&lt;60,"Media","Alta")))</f>
        <v>Nula</v>
      </c>
      <c r="N175" s="3">
        <f>250</f>
        <v>250</v>
      </c>
      <c r="O175" s="4">
        <f>Tabla1[Unidades_Defectuosas] / Tabla1[Unidades_Producidas]</f>
        <v>0.11574074074074074</v>
      </c>
      <c r="P175" s="4">
        <f>Tabla1[Unidades_Buenas] / Tabla1[Unidades_Producidas]</f>
        <v>0.8842592592592593</v>
      </c>
      <c r="Q175" s="3">
        <f>IF(Tabla1[Tipo_Defecto_Principal]="Falla de material", 3, IF(Tabla1[Tipo_Defecto_Principal]="Dimensión fuera de especificación", 2, 1))</f>
        <v>2</v>
      </c>
    </row>
    <row r="176" spans="1:17" x14ac:dyDescent="0.3">
      <c r="A176" s="2">
        <v>45214</v>
      </c>
      <c r="B176" t="s">
        <v>17</v>
      </c>
      <c r="C176" t="s">
        <v>13</v>
      </c>
      <c r="D176">
        <v>249</v>
      </c>
      <c r="E176">
        <v>5</v>
      </c>
      <c r="F176" t="s">
        <v>20</v>
      </c>
      <c r="G176">
        <v>0</v>
      </c>
      <c r="H176" t="s">
        <v>26</v>
      </c>
      <c r="I176">
        <f>(480 - Tabla1[Minutos_Paro]) / 60</f>
        <v>8</v>
      </c>
      <c r="J176" t="str">
        <f>IF(Tabla1[Unidades_Defectuosas] &gt; Tabla1[Unidades_Producidas], "ERROR", "OK")</f>
        <v>OK</v>
      </c>
      <c r="K176" s="1">
        <f>Tabla1[Minutos_Paro] / Tabla1[Unidades_Producidas]</f>
        <v>0</v>
      </c>
      <c r="L176">
        <f>Tabla1[Unidades_Producidas] - Tabla1[Unidades_Defectuosas]</f>
        <v>244</v>
      </c>
      <c r="M176" s="3" t="str">
        <f>IF(Tabla1[Minutos_Paro]=0,"Nula",IF(Tabla1[Minutos_Paro]&lt;30,"Baja",IF(Tabla1[Minutos_Paro]&lt;60,"Media","Alta")))</f>
        <v>Nula</v>
      </c>
      <c r="N176" s="3">
        <f>250</f>
        <v>250</v>
      </c>
      <c r="O176" s="4">
        <f>Tabla1[Unidades_Defectuosas] / Tabla1[Unidades_Producidas]</f>
        <v>2.0080321285140562E-2</v>
      </c>
      <c r="P176" s="4">
        <f>Tabla1[Unidades_Buenas] / Tabla1[Unidades_Producidas]</f>
        <v>0.97991967871485941</v>
      </c>
      <c r="Q176" s="3">
        <f>IF(Tabla1[Tipo_Defecto_Principal]="Falla de material", 3, IF(Tabla1[Tipo_Defecto_Principal]="Dimensión fuera de especificación", 2, 1))</f>
        <v>1</v>
      </c>
    </row>
    <row r="177" spans="1:17" x14ac:dyDescent="0.3">
      <c r="A177" s="2">
        <v>45214</v>
      </c>
      <c r="B177" t="s">
        <v>17</v>
      </c>
      <c r="C177" t="s">
        <v>15</v>
      </c>
      <c r="D177">
        <v>222</v>
      </c>
      <c r="E177">
        <v>4</v>
      </c>
      <c r="F177" t="s">
        <v>14</v>
      </c>
      <c r="G177">
        <v>0</v>
      </c>
      <c r="H177" t="s">
        <v>26</v>
      </c>
      <c r="I177">
        <f>(480 - Tabla1[Minutos_Paro]) / 60</f>
        <v>8</v>
      </c>
      <c r="J177" t="str">
        <f>IF(Tabla1[Unidades_Defectuosas] &gt; Tabla1[Unidades_Producidas], "ERROR", "OK")</f>
        <v>OK</v>
      </c>
      <c r="K177" s="1">
        <f>Tabla1[Minutos_Paro] / Tabla1[Unidades_Producidas]</f>
        <v>0</v>
      </c>
      <c r="L177">
        <f>Tabla1[Unidades_Producidas] - Tabla1[Unidades_Defectuosas]</f>
        <v>218</v>
      </c>
      <c r="M177" s="3" t="str">
        <f>IF(Tabla1[Minutos_Paro]=0,"Nula",IF(Tabla1[Minutos_Paro]&lt;30,"Baja",IF(Tabla1[Minutos_Paro]&lt;60,"Media","Alta")))</f>
        <v>Nula</v>
      </c>
      <c r="N177" s="3">
        <f>250</f>
        <v>250</v>
      </c>
      <c r="O177" s="4">
        <f>Tabla1[Unidades_Defectuosas] / Tabla1[Unidades_Producidas]</f>
        <v>1.8018018018018018E-2</v>
      </c>
      <c r="P177" s="4">
        <f>Tabla1[Unidades_Buenas] / Tabla1[Unidades_Producidas]</f>
        <v>0.98198198198198194</v>
      </c>
      <c r="Q177" s="3">
        <f>IF(Tabla1[Tipo_Defecto_Principal]="Falla de material", 3, IF(Tabla1[Tipo_Defecto_Principal]="Dimensión fuera de especificación", 2, 1))</f>
        <v>3</v>
      </c>
    </row>
    <row r="178" spans="1:17" x14ac:dyDescent="0.3">
      <c r="A178" s="2">
        <v>45214</v>
      </c>
      <c r="B178" t="s">
        <v>19</v>
      </c>
      <c r="C178" t="s">
        <v>9</v>
      </c>
      <c r="D178">
        <v>202</v>
      </c>
      <c r="E178">
        <v>3</v>
      </c>
      <c r="F178" t="s">
        <v>18</v>
      </c>
      <c r="G178">
        <v>0</v>
      </c>
      <c r="H178" t="s">
        <v>26</v>
      </c>
      <c r="I178">
        <f>(480 - Tabla1[Minutos_Paro]) / 60</f>
        <v>8</v>
      </c>
      <c r="J178" t="str">
        <f>IF(Tabla1[Unidades_Defectuosas] &gt; Tabla1[Unidades_Producidas], "ERROR", "OK")</f>
        <v>OK</v>
      </c>
      <c r="K178" s="1">
        <f>Tabla1[Minutos_Paro] / Tabla1[Unidades_Producidas]</f>
        <v>0</v>
      </c>
      <c r="L178">
        <f>Tabla1[Unidades_Producidas] - Tabla1[Unidades_Defectuosas]</f>
        <v>199</v>
      </c>
      <c r="M178" s="3" t="str">
        <f>IF(Tabla1[Minutos_Paro]=0,"Nula",IF(Tabla1[Minutos_Paro]&lt;30,"Baja",IF(Tabla1[Minutos_Paro]&lt;60,"Media","Alta")))</f>
        <v>Nula</v>
      </c>
      <c r="N178" s="3">
        <f>250</f>
        <v>250</v>
      </c>
      <c r="O178" s="4">
        <f>Tabla1[Unidades_Defectuosas] / Tabla1[Unidades_Producidas]</f>
        <v>1.4851485148514851E-2</v>
      </c>
      <c r="P178" s="4">
        <f>Tabla1[Unidades_Buenas] / Tabla1[Unidades_Producidas]</f>
        <v>0.98514851485148514</v>
      </c>
      <c r="Q178" s="3">
        <f>IF(Tabla1[Tipo_Defecto_Principal]="Falla de material", 3, IF(Tabla1[Tipo_Defecto_Principal]="Dimensión fuera de especificación", 2, 1))</f>
        <v>1</v>
      </c>
    </row>
    <row r="179" spans="1:17" x14ac:dyDescent="0.3">
      <c r="A179" s="2">
        <v>45214</v>
      </c>
      <c r="B179" t="s">
        <v>19</v>
      </c>
      <c r="C179" t="s">
        <v>12</v>
      </c>
      <c r="D179">
        <v>187</v>
      </c>
      <c r="E179">
        <v>26</v>
      </c>
      <c r="F179" t="s">
        <v>10</v>
      </c>
      <c r="G179">
        <v>0</v>
      </c>
      <c r="H179" t="s">
        <v>26</v>
      </c>
      <c r="I179">
        <f>(480 - Tabla1[Minutos_Paro]) / 60</f>
        <v>8</v>
      </c>
      <c r="J179" t="str">
        <f>IF(Tabla1[Unidades_Defectuosas] &gt; Tabla1[Unidades_Producidas], "ERROR", "OK")</f>
        <v>OK</v>
      </c>
      <c r="K179" s="1">
        <f>Tabla1[Minutos_Paro] / Tabla1[Unidades_Producidas]</f>
        <v>0</v>
      </c>
      <c r="L179">
        <f>Tabla1[Unidades_Producidas] - Tabla1[Unidades_Defectuosas]</f>
        <v>161</v>
      </c>
      <c r="M179" s="3" t="str">
        <f>IF(Tabla1[Minutos_Paro]=0,"Nula",IF(Tabla1[Minutos_Paro]&lt;30,"Baja",IF(Tabla1[Minutos_Paro]&lt;60,"Media","Alta")))</f>
        <v>Nula</v>
      </c>
      <c r="N179" s="3">
        <f>250</f>
        <v>250</v>
      </c>
      <c r="O179" s="4">
        <f>Tabla1[Unidades_Defectuosas] / Tabla1[Unidades_Producidas]</f>
        <v>0.13903743315508021</v>
      </c>
      <c r="P179" s="4">
        <f>Tabla1[Unidades_Buenas] / Tabla1[Unidades_Producidas]</f>
        <v>0.86096256684491979</v>
      </c>
      <c r="Q179" s="3">
        <f>IF(Tabla1[Tipo_Defecto_Principal]="Falla de material", 3, IF(Tabla1[Tipo_Defecto_Principal]="Dimensión fuera de especificación", 2, 1))</f>
        <v>2</v>
      </c>
    </row>
    <row r="180" spans="1:17" x14ac:dyDescent="0.3">
      <c r="A180" s="2">
        <v>45214</v>
      </c>
      <c r="B180" t="s">
        <v>19</v>
      </c>
      <c r="C180" t="s">
        <v>13</v>
      </c>
      <c r="D180">
        <v>184</v>
      </c>
      <c r="E180">
        <v>5</v>
      </c>
      <c r="F180" t="s">
        <v>20</v>
      </c>
      <c r="G180">
        <v>0</v>
      </c>
      <c r="H180" t="s">
        <v>26</v>
      </c>
      <c r="I180">
        <f>(480 - Tabla1[Minutos_Paro]) / 60</f>
        <v>8</v>
      </c>
      <c r="J180" t="str">
        <f>IF(Tabla1[Unidades_Defectuosas] &gt; Tabla1[Unidades_Producidas], "ERROR", "OK")</f>
        <v>OK</v>
      </c>
      <c r="K180" s="1">
        <f>Tabla1[Minutos_Paro] / Tabla1[Unidades_Producidas]</f>
        <v>0</v>
      </c>
      <c r="L180">
        <f>Tabla1[Unidades_Producidas] - Tabla1[Unidades_Defectuosas]</f>
        <v>179</v>
      </c>
      <c r="M180" s="3" t="str">
        <f>IF(Tabla1[Minutos_Paro]=0,"Nula",IF(Tabla1[Minutos_Paro]&lt;30,"Baja",IF(Tabla1[Minutos_Paro]&lt;60,"Media","Alta")))</f>
        <v>Nula</v>
      </c>
      <c r="N180" s="3">
        <f>250</f>
        <v>250</v>
      </c>
      <c r="O180" s="4">
        <f>Tabla1[Unidades_Defectuosas] / Tabla1[Unidades_Producidas]</f>
        <v>2.717391304347826E-2</v>
      </c>
      <c r="P180" s="4">
        <f>Tabla1[Unidades_Buenas] / Tabla1[Unidades_Producidas]</f>
        <v>0.97282608695652173</v>
      </c>
      <c r="Q180" s="3">
        <f>IF(Tabla1[Tipo_Defecto_Principal]="Falla de material", 3, IF(Tabla1[Tipo_Defecto_Principal]="Dimensión fuera de especificación", 2, 1))</f>
        <v>1</v>
      </c>
    </row>
    <row r="181" spans="1:17" x14ac:dyDescent="0.3">
      <c r="A181" s="2">
        <v>45214</v>
      </c>
      <c r="B181" t="s">
        <v>19</v>
      </c>
      <c r="C181" t="s">
        <v>15</v>
      </c>
      <c r="D181">
        <v>205</v>
      </c>
      <c r="E181">
        <v>6</v>
      </c>
      <c r="F181" t="s">
        <v>14</v>
      </c>
      <c r="G181">
        <v>0</v>
      </c>
      <c r="H181" t="s">
        <v>26</v>
      </c>
      <c r="I181">
        <f>(480 - Tabla1[Minutos_Paro]) / 60</f>
        <v>8</v>
      </c>
      <c r="J181" t="str">
        <f>IF(Tabla1[Unidades_Defectuosas] &gt; Tabla1[Unidades_Producidas], "ERROR", "OK")</f>
        <v>OK</v>
      </c>
      <c r="K181" s="1">
        <f>Tabla1[Minutos_Paro] / Tabla1[Unidades_Producidas]</f>
        <v>0</v>
      </c>
      <c r="L181">
        <f>Tabla1[Unidades_Producidas] - Tabla1[Unidades_Defectuosas]</f>
        <v>199</v>
      </c>
      <c r="M181" s="3" t="str">
        <f>IF(Tabla1[Minutos_Paro]=0,"Nula",IF(Tabla1[Minutos_Paro]&lt;30,"Baja",IF(Tabla1[Minutos_Paro]&lt;60,"Media","Alta")))</f>
        <v>Nula</v>
      </c>
      <c r="N181" s="3">
        <f>250</f>
        <v>250</v>
      </c>
      <c r="O181" s="4">
        <f>Tabla1[Unidades_Defectuosas] / Tabla1[Unidades_Producidas]</f>
        <v>2.9268292682926831E-2</v>
      </c>
      <c r="P181" s="4">
        <f>Tabla1[Unidades_Buenas] / Tabla1[Unidades_Producidas]</f>
        <v>0.97073170731707314</v>
      </c>
      <c r="Q181" s="3">
        <f>IF(Tabla1[Tipo_Defecto_Principal]="Falla de material", 3, IF(Tabla1[Tipo_Defecto_Principal]="Dimensión fuera de especificación", 2, 1))</f>
        <v>3</v>
      </c>
    </row>
    <row r="182" spans="1:17" x14ac:dyDescent="0.3">
      <c r="A182" s="2">
        <v>45215</v>
      </c>
      <c r="B182" t="s">
        <v>8</v>
      </c>
      <c r="C182" t="s">
        <v>9</v>
      </c>
      <c r="D182">
        <v>232</v>
      </c>
      <c r="E182">
        <v>9</v>
      </c>
      <c r="F182" t="s">
        <v>18</v>
      </c>
      <c r="G182">
        <v>0</v>
      </c>
      <c r="H182" t="s">
        <v>26</v>
      </c>
      <c r="I182">
        <f>(480 - Tabla1[Minutos_Paro]) / 60</f>
        <v>8</v>
      </c>
      <c r="J182" t="str">
        <f>IF(Tabla1[Unidades_Defectuosas] &gt; Tabla1[Unidades_Producidas], "ERROR", "OK")</f>
        <v>OK</v>
      </c>
      <c r="K182" s="1">
        <f>Tabla1[Minutos_Paro] / Tabla1[Unidades_Producidas]</f>
        <v>0</v>
      </c>
      <c r="L182">
        <f>Tabla1[Unidades_Producidas] - Tabla1[Unidades_Defectuosas]</f>
        <v>223</v>
      </c>
      <c r="M182" s="3" t="str">
        <f>IF(Tabla1[Minutos_Paro]=0,"Nula",IF(Tabla1[Minutos_Paro]&lt;30,"Baja",IF(Tabla1[Minutos_Paro]&lt;60,"Media","Alta")))</f>
        <v>Nula</v>
      </c>
      <c r="N182" s="3">
        <f>250</f>
        <v>250</v>
      </c>
      <c r="O182" s="4">
        <f>Tabla1[Unidades_Defectuosas] / Tabla1[Unidades_Producidas]</f>
        <v>3.8793103448275863E-2</v>
      </c>
      <c r="P182" s="4">
        <f>Tabla1[Unidades_Buenas] / Tabla1[Unidades_Producidas]</f>
        <v>0.96120689655172409</v>
      </c>
      <c r="Q182" s="3">
        <f>IF(Tabla1[Tipo_Defecto_Principal]="Falla de material", 3, IF(Tabla1[Tipo_Defecto_Principal]="Dimensión fuera de especificación", 2, 1))</f>
        <v>1</v>
      </c>
    </row>
    <row r="183" spans="1:17" x14ac:dyDescent="0.3">
      <c r="A183" s="2">
        <v>45215</v>
      </c>
      <c r="B183" t="s">
        <v>8</v>
      </c>
      <c r="C183" t="s">
        <v>12</v>
      </c>
      <c r="D183">
        <v>247</v>
      </c>
      <c r="E183">
        <v>22</v>
      </c>
      <c r="F183" t="s">
        <v>16</v>
      </c>
      <c r="G183">
        <v>30</v>
      </c>
      <c r="H183" t="s">
        <v>24</v>
      </c>
      <c r="I183">
        <f>(480 - Tabla1[Minutos_Paro]) / 60</f>
        <v>7.5</v>
      </c>
      <c r="J183" t="str">
        <f>IF(Tabla1[Unidades_Defectuosas] &gt; Tabla1[Unidades_Producidas], "ERROR", "OK")</f>
        <v>OK</v>
      </c>
      <c r="K183" s="1">
        <f>Tabla1[Minutos_Paro] / Tabla1[Unidades_Producidas]</f>
        <v>0.1214574898785425</v>
      </c>
      <c r="L183">
        <f>Tabla1[Unidades_Producidas] - Tabla1[Unidades_Defectuosas]</f>
        <v>225</v>
      </c>
      <c r="M183" s="3" t="str">
        <f>IF(Tabla1[Minutos_Paro]=0,"Nula",IF(Tabla1[Minutos_Paro]&lt;30,"Baja",IF(Tabla1[Minutos_Paro]&lt;60,"Media","Alta")))</f>
        <v>Media</v>
      </c>
      <c r="N183" s="3">
        <f>250</f>
        <v>250</v>
      </c>
      <c r="O183" s="4">
        <f>Tabla1[Unidades_Defectuosas] / Tabla1[Unidades_Producidas]</f>
        <v>8.9068825910931168E-2</v>
      </c>
      <c r="P183" s="4">
        <f>Tabla1[Unidades_Buenas] / Tabla1[Unidades_Producidas]</f>
        <v>0.91093117408906887</v>
      </c>
      <c r="Q183" s="3">
        <f>IF(Tabla1[Tipo_Defecto_Principal]="Falla de material", 3, IF(Tabla1[Tipo_Defecto_Principal]="Dimensión fuera de especificación", 2, 1))</f>
        <v>1</v>
      </c>
    </row>
    <row r="184" spans="1:17" x14ac:dyDescent="0.3">
      <c r="A184" s="2">
        <v>45215</v>
      </c>
      <c r="B184" t="s">
        <v>8</v>
      </c>
      <c r="C184" t="s">
        <v>13</v>
      </c>
      <c r="D184">
        <v>249</v>
      </c>
      <c r="E184">
        <v>11</v>
      </c>
      <c r="F184" t="s">
        <v>16</v>
      </c>
      <c r="G184">
        <v>0</v>
      </c>
      <c r="H184" t="s">
        <v>26</v>
      </c>
      <c r="I184">
        <f>(480 - Tabla1[Minutos_Paro]) / 60</f>
        <v>8</v>
      </c>
      <c r="J184" t="str">
        <f>IF(Tabla1[Unidades_Defectuosas] &gt; Tabla1[Unidades_Producidas], "ERROR", "OK")</f>
        <v>OK</v>
      </c>
      <c r="K184" s="1">
        <f>Tabla1[Minutos_Paro] / Tabla1[Unidades_Producidas]</f>
        <v>0</v>
      </c>
      <c r="L184">
        <f>Tabla1[Unidades_Producidas] - Tabla1[Unidades_Defectuosas]</f>
        <v>238</v>
      </c>
      <c r="M184" s="3" t="str">
        <f>IF(Tabla1[Minutos_Paro]=0,"Nula",IF(Tabla1[Minutos_Paro]&lt;30,"Baja",IF(Tabla1[Minutos_Paro]&lt;60,"Media","Alta")))</f>
        <v>Nula</v>
      </c>
      <c r="N184" s="3">
        <f>250</f>
        <v>250</v>
      </c>
      <c r="O184" s="4">
        <f>Tabla1[Unidades_Defectuosas] / Tabla1[Unidades_Producidas]</f>
        <v>4.4176706827309238E-2</v>
      </c>
      <c r="P184" s="4">
        <f>Tabla1[Unidades_Buenas] / Tabla1[Unidades_Producidas]</f>
        <v>0.95582329317269077</v>
      </c>
      <c r="Q184" s="3">
        <f>IF(Tabla1[Tipo_Defecto_Principal]="Falla de material", 3, IF(Tabla1[Tipo_Defecto_Principal]="Dimensión fuera de especificación", 2, 1))</f>
        <v>1</v>
      </c>
    </row>
    <row r="185" spans="1:17" x14ac:dyDescent="0.3">
      <c r="A185" s="2">
        <v>45215</v>
      </c>
      <c r="B185" t="s">
        <v>8</v>
      </c>
      <c r="C185" t="s">
        <v>15</v>
      </c>
      <c r="D185">
        <v>212</v>
      </c>
      <c r="E185">
        <v>3</v>
      </c>
      <c r="F185" t="s">
        <v>10</v>
      </c>
      <c r="G185">
        <v>0</v>
      </c>
      <c r="H185" t="s">
        <v>26</v>
      </c>
      <c r="I185">
        <f>(480 - Tabla1[Minutos_Paro]) / 60</f>
        <v>8</v>
      </c>
      <c r="J185" t="str">
        <f>IF(Tabla1[Unidades_Defectuosas] &gt; Tabla1[Unidades_Producidas], "ERROR", "OK")</f>
        <v>OK</v>
      </c>
      <c r="K185" s="1">
        <f>Tabla1[Minutos_Paro] / Tabla1[Unidades_Producidas]</f>
        <v>0</v>
      </c>
      <c r="L185">
        <f>Tabla1[Unidades_Producidas] - Tabla1[Unidades_Defectuosas]</f>
        <v>209</v>
      </c>
      <c r="M185" s="3" t="str">
        <f>IF(Tabla1[Minutos_Paro]=0,"Nula",IF(Tabla1[Minutos_Paro]&lt;30,"Baja",IF(Tabla1[Minutos_Paro]&lt;60,"Media","Alta")))</f>
        <v>Nula</v>
      </c>
      <c r="N185" s="3">
        <f>250</f>
        <v>250</v>
      </c>
      <c r="O185" s="4">
        <f>Tabla1[Unidades_Defectuosas] / Tabla1[Unidades_Producidas]</f>
        <v>1.4150943396226415E-2</v>
      </c>
      <c r="P185" s="4">
        <f>Tabla1[Unidades_Buenas] / Tabla1[Unidades_Producidas]</f>
        <v>0.98584905660377353</v>
      </c>
      <c r="Q185" s="3">
        <f>IF(Tabla1[Tipo_Defecto_Principal]="Falla de material", 3, IF(Tabla1[Tipo_Defecto_Principal]="Dimensión fuera de especificación", 2, 1))</f>
        <v>2</v>
      </c>
    </row>
    <row r="186" spans="1:17" x14ac:dyDescent="0.3">
      <c r="A186" s="2">
        <v>45215</v>
      </c>
      <c r="B186" t="s">
        <v>17</v>
      </c>
      <c r="C186" t="s">
        <v>9</v>
      </c>
      <c r="D186">
        <v>245</v>
      </c>
      <c r="E186">
        <v>6</v>
      </c>
      <c r="F186" t="s">
        <v>14</v>
      </c>
      <c r="G186">
        <v>0</v>
      </c>
      <c r="H186" t="s">
        <v>26</v>
      </c>
      <c r="I186">
        <f>(480 - Tabla1[Minutos_Paro]) / 60</f>
        <v>8</v>
      </c>
      <c r="J186" t="str">
        <f>IF(Tabla1[Unidades_Defectuosas] &gt; Tabla1[Unidades_Producidas], "ERROR", "OK")</f>
        <v>OK</v>
      </c>
      <c r="K186" s="1">
        <f>Tabla1[Minutos_Paro] / Tabla1[Unidades_Producidas]</f>
        <v>0</v>
      </c>
      <c r="L186">
        <f>Tabla1[Unidades_Producidas] - Tabla1[Unidades_Defectuosas]</f>
        <v>239</v>
      </c>
      <c r="M186" s="3" t="str">
        <f>IF(Tabla1[Minutos_Paro]=0,"Nula",IF(Tabla1[Minutos_Paro]&lt;30,"Baja",IF(Tabla1[Minutos_Paro]&lt;60,"Media","Alta")))</f>
        <v>Nula</v>
      </c>
      <c r="N186" s="3">
        <f>250</f>
        <v>250</v>
      </c>
      <c r="O186" s="4">
        <f>Tabla1[Unidades_Defectuosas] / Tabla1[Unidades_Producidas]</f>
        <v>2.4489795918367346E-2</v>
      </c>
      <c r="P186" s="4">
        <f>Tabla1[Unidades_Buenas] / Tabla1[Unidades_Producidas]</f>
        <v>0.97551020408163269</v>
      </c>
      <c r="Q186" s="3">
        <f>IF(Tabla1[Tipo_Defecto_Principal]="Falla de material", 3, IF(Tabla1[Tipo_Defecto_Principal]="Dimensión fuera de especificación", 2, 1))</f>
        <v>3</v>
      </c>
    </row>
    <row r="187" spans="1:17" x14ac:dyDescent="0.3">
      <c r="A187" s="2">
        <v>45215</v>
      </c>
      <c r="B187" t="s">
        <v>17</v>
      </c>
      <c r="C187" t="s">
        <v>12</v>
      </c>
      <c r="D187">
        <v>227</v>
      </c>
      <c r="E187">
        <v>19</v>
      </c>
      <c r="F187" t="s">
        <v>18</v>
      </c>
      <c r="G187">
        <v>0</v>
      </c>
      <c r="H187" t="s">
        <v>26</v>
      </c>
      <c r="I187">
        <f>(480 - Tabla1[Minutos_Paro]) / 60</f>
        <v>8</v>
      </c>
      <c r="J187" t="str">
        <f>IF(Tabla1[Unidades_Defectuosas] &gt; Tabla1[Unidades_Producidas], "ERROR", "OK")</f>
        <v>OK</v>
      </c>
      <c r="K187" s="1">
        <f>Tabla1[Minutos_Paro] / Tabla1[Unidades_Producidas]</f>
        <v>0</v>
      </c>
      <c r="L187">
        <f>Tabla1[Unidades_Producidas] - Tabla1[Unidades_Defectuosas]</f>
        <v>208</v>
      </c>
      <c r="M187" s="3" t="str">
        <f>IF(Tabla1[Minutos_Paro]=0,"Nula",IF(Tabla1[Minutos_Paro]&lt;30,"Baja",IF(Tabla1[Minutos_Paro]&lt;60,"Media","Alta")))</f>
        <v>Nula</v>
      </c>
      <c r="N187" s="3">
        <f>250</f>
        <v>250</v>
      </c>
      <c r="O187" s="4">
        <f>Tabla1[Unidades_Defectuosas] / Tabla1[Unidades_Producidas]</f>
        <v>8.3700440528634359E-2</v>
      </c>
      <c r="P187" s="4">
        <f>Tabla1[Unidades_Buenas] / Tabla1[Unidades_Producidas]</f>
        <v>0.91629955947136565</v>
      </c>
      <c r="Q187" s="3">
        <f>IF(Tabla1[Tipo_Defecto_Principal]="Falla de material", 3, IF(Tabla1[Tipo_Defecto_Principal]="Dimensión fuera de especificación", 2, 1))</f>
        <v>1</v>
      </c>
    </row>
    <row r="188" spans="1:17" x14ac:dyDescent="0.3">
      <c r="A188" s="2">
        <v>45215</v>
      </c>
      <c r="B188" t="s">
        <v>17</v>
      </c>
      <c r="C188" t="s">
        <v>13</v>
      </c>
      <c r="D188">
        <v>227</v>
      </c>
      <c r="E188">
        <v>10</v>
      </c>
      <c r="F188" t="s">
        <v>18</v>
      </c>
      <c r="G188">
        <v>0</v>
      </c>
      <c r="H188" t="s">
        <v>26</v>
      </c>
      <c r="I188">
        <f>(480 - Tabla1[Minutos_Paro]) / 60</f>
        <v>8</v>
      </c>
      <c r="J188" t="str">
        <f>IF(Tabla1[Unidades_Defectuosas] &gt; Tabla1[Unidades_Producidas], "ERROR", "OK")</f>
        <v>OK</v>
      </c>
      <c r="K188" s="1">
        <f>Tabla1[Minutos_Paro] / Tabla1[Unidades_Producidas]</f>
        <v>0</v>
      </c>
      <c r="L188">
        <f>Tabla1[Unidades_Producidas] - Tabla1[Unidades_Defectuosas]</f>
        <v>217</v>
      </c>
      <c r="M188" s="3" t="str">
        <f>IF(Tabla1[Minutos_Paro]=0,"Nula",IF(Tabla1[Minutos_Paro]&lt;30,"Baja",IF(Tabla1[Minutos_Paro]&lt;60,"Media","Alta")))</f>
        <v>Nula</v>
      </c>
      <c r="N188" s="3">
        <f>250</f>
        <v>250</v>
      </c>
      <c r="O188" s="4">
        <f>Tabla1[Unidades_Defectuosas] / Tabla1[Unidades_Producidas]</f>
        <v>4.405286343612335E-2</v>
      </c>
      <c r="P188" s="4">
        <f>Tabla1[Unidades_Buenas] / Tabla1[Unidades_Producidas]</f>
        <v>0.95594713656387664</v>
      </c>
      <c r="Q188" s="3">
        <f>IF(Tabla1[Tipo_Defecto_Principal]="Falla de material", 3, IF(Tabla1[Tipo_Defecto_Principal]="Dimensión fuera de especificación", 2, 1))</f>
        <v>1</v>
      </c>
    </row>
    <row r="189" spans="1:17" x14ac:dyDescent="0.3">
      <c r="A189" s="2">
        <v>45215</v>
      </c>
      <c r="B189" t="s">
        <v>17</v>
      </c>
      <c r="C189" t="s">
        <v>15</v>
      </c>
      <c r="D189">
        <v>192</v>
      </c>
      <c r="E189">
        <v>4</v>
      </c>
      <c r="F189" t="s">
        <v>14</v>
      </c>
      <c r="G189">
        <v>0</v>
      </c>
      <c r="H189" t="s">
        <v>26</v>
      </c>
      <c r="I189">
        <f>(480 - Tabla1[Minutos_Paro]) / 60</f>
        <v>8</v>
      </c>
      <c r="J189" t="str">
        <f>IF(Tabla1[Unidades_Defectuosas] &gt; Tabla1[Unidades_Producidas], "ERROR", "OK")</f>
        <v>OK</v>
      </c>
      <c r="K189" s="1">
        <f>Tabla1[Minutos_Paro] / Tabla1[Unidades_Producidas]</f>
        <v>0</v>
      </c>
      <c r="L189">
        <f>Tabla1[Unidades_Producidas] - Tabla1[Unidades_Defectuosas]</f>
        <v>188</v>
      </c>
      <c r="M189" s="3" t="str">
        <f>IF(Tabla1[Minutos_Paro]=0,"Nula",IF(Tabla1[Minutos_Paro]&lt;30,"Baja",IF(Tabla1[Minutos_Paro]&lt;60,"Media","Alta")))</f>
        <v>Nula</v>
      </c>
      <c r="N189" s="3">
        <f>250</f>
        <v>250</v>
      </c>
      <c r="O189" s="4">
        <f>Tabla1[Unidades_Defectuosas] / Tabla1[Unidades_Producidas]</f>
        <v>2.0833333333333332E-2</v>
      </c>
      <c r="P189" s="4">
        <f>Tabla1[Unidades_Buenas] / Tabla1[Unidades_Producidas]</f>
        <v>0.97916666666666663</v>
      </c>
      <c r="Q189" s="3">
        <f>IF(Tabla1[Tipo_Defecto_Principal]="Falla de material", 3, IF(Tabla1[Tipo_Defecto_Principal]="Dimensión fuera de especificación", 2, 1))</f>
        <v>3</v>
      </c>
    </row>
    <row r="190" spans="1:17" x14ac:dyDescent="0.3">
      <c r="A190" s="2">
        <v>45215</v>
      </c>
      <c r="B190" t="s">
        <v>19</v>
      </c>
      <c r="C190" t="s">
        <v>9</v>
      </c>
      <c r="D190">
        <v>207</v>
      </c>
      <c r="E190">
        <v>6</v>
      </c>
      <c r="F190" t="s">
        <v>10</v>
      </c>
      <c r="G190">
        <v>0</v>
      </c>
      <c r="H190" t="s">
        <v>26</v>
      </c>
      <c r="I190">
        <f>(480 - Tabla1[Minutos_Paro]) / 60</f>
        <v>8</v>
      </c>
      <c r="J190" t="str">
        <f>IF(Tabla1[Unidades_Defectuosas] &gt; Tabla1[Unidades_Producidas], "ERROR", "OK")</f>
        <v>OK</v>
      </c>
      <c r="K190" s="1">
        <f>Tabla1[Minutos_Paro] / Tabla1[Unidades_Producidas]</f>
        <v>0</v>
      </c>
      <c r="L190">
        <f>Tabla1[Unidades_Producidas] - Tabla1[Unidades_Defectuosas]</f>
        <v>201</v>
      </c>
      <c r="M190" s="3" t="str">
        <f>IF(Tabla1[Minutos_Paro]=0,"Nula",IF(Tabla1[Minutos_Paro]&lt;30,"Baja",IF(Tabla1[Minutos_Paro]&lt;60,"Media","Alta")))</f>
        <v>Nula</v>
      </c>
      <c r="N190" s="3">
        <f>250</f>
        <v>250</v>
      </c>
      <c r="O190" s="4">
        <f>Tabla1[Unidades_Defectuosas] / Tabla1[Unidades_Producidas]</f>
        <v>2.8985507246376812E-2</v>
      </c>
      <c r="P190" s="4">
        <f>Tabla1[Unidades_Buenas] / Tabla1[Unidades_Producidas]</f>
        <v>0.97101449275362317</v>
      </c>
      <c r="Q190" s="3">
        <f>IF(Tabla1[Tipo_Defecto_Principal]="Falla de material", 3, IF(Tabla1[Tipo_Defecto_Principal]="Dimensión fuera de especificación", 2, 1))</f>
        <v>2</v>
      </c>
    </row>
    <row r="191" spans="1:17" x14ac:dyDescent="0.3">
      <c r="A191" s="2">
        <v>45215</v>
      </c>
      <c r="B191" t="s">
        <v>19</v>
      </c>
      <c r="C191" t="s">
        <v>12</v>
      </c>
      <c r="D191">
        <v>218</v>
      </c>
      <c r="E191">
        <v>18</v>
      </c>
      <c r="F191" t="s">
        <v>10</v>
      </c>
      <c r="G191">
        <v>0</v>
      </c>
      <c r="H191" t="s">
        <v>26</v>
      </c>
      <c r="I191">
        <f>(480 - Tabla1[Minutos_Paro]) / 60</f>
        <v>8</v>
      </c>
      <c r="J191" t="str">
        <f>IF(Tabla1[Unidades_Defectuosas] &gt; Tabla1[Unidades_Producidas], "ERROR", "OK")</f>
        <v>OK</v>
      </c>
      <c r="K191" s="1">
        <f>Tabla1[Minutos_Paro] / Tabla1[Unidades_Producidas]</f>
        <v>0</v>
      </c>
      <c r="L191">
        <f>Tabla1[Unidades_Producidas] - Tabla1[Unidades_Defectuosas]</f>
        <v>200</v>
      </c>
      <c r="M191" s="3" t="str">
        <f>IF(Tabla1[Minutos_Paro]=0,"Nula",IF(Tabla1[Minutos_Paro]&lt;30,"Baja",IF(Tabla1[Minutos_Paro]&lt;60,"Media","Alta")))</f>
        <v>Nula</v>
      </c>
      <c r="N191" s="3">
        <f>250</f>
        <v>250</v>
      </c>
      <c r="O191" s="4">
        <f>Tabla1[Unidades_Defectuosas] / Tabla1[Unidades_Producidas]</f>
        <v>8.2568807339449546E-2</v>
      </c>
      <c r="P191" s="4">
        <f>Tabla1[Unidades_Buenas] / Tabla1[Unidades_Producidas]</f>
        <v>0.91743119266055051</v>
      </c>
      <c r="Q191" s="3">
        <f>IF(Tabla1[Tipo_Defecto_Principal]="Falla de material", 3, IF(Tabla1[Tipo_Defecto_Principal]="Dimensión fuera de especificación", 2, 1))</f>
        <v>2</v>
      </c>
    </row>
    <row r="192" spans="1:17" x14ac:dyDescent="0.3">
      <c r="A192" s="2">
        <v>45215</v>
      </c>
      <c r="B192" t="s">
        <v>19</v>
      </c>
      <c r="C192" t="s">
        <v>13</v>
      </c>
      <c r="D192">
        <v>221</v>
      </c>
      <c r="E192">
        <v>6</v>
      </c>
      <c r="F192" t="s">
        <v>14</v>
      </c>
      <c r="G192">
        <v>0</v>
      </c>
      <c r="H192" t="s">
        <v>26</v>
      </c>
      <c r="I192">
        <f>(480 - Tabla1[Minutos_Paro]) / 60</f>
        <v>8</v>
      </c>
      <c r="J192" t="str">
        <f>IF(Tabla1[Unidades_Defectuosas] &gt; Tabla1[Unidades_Producidas], "ERROR", "OK")</f>
        <v>OK</v>
      </c>
      <c r="K192" s="1">
        <f>Tabla1[Minutos_Paro] / Tabla1[Unidades_Producidas]</f>
        <v>0</v>
      </c>
      <c r="L192">
        <f>Tabla1[Unidades_Producidas] - Tabla1[Unidades_Defectuosas]</f>
        <v>215</v>
      </c>
      <c r="M192" s="3" t="str">
        <f>IF(Tabla1[Minutos_Paro]=0,"Nula",IF(Tabla1[Minutos_Paro]&lt;30,"Baja",IF(Tabla1[Minutos_Paro]&lt;60,"Media","Alta")))</f>
        <v>Nula</v>
      </c>
      <c r="N192" s="3">
        <f>250</f>
        <v>250</v>
      </c>
      <c r="O192" s="4">
        <f>Tabla1[Unidades_Defectuosas] / Tabla1[Unidades_Producidas]</f>
        <v>2.7149321266968326E-2</v>
      </c>
      <c r="P192" s="4">
        <f>Tabla1[Unidades_Buenas] / Tabla1[Unidades_Producidas]</f>
        <v>0.97285067873303166</v>
      </c>
      <c r="Q192" s="3">
        <f>IF(Tabla1[Tipo_Defecto_Principal]="Falla de material", 3, IF(Tabla1[Tipo_Defecto_Principal]="Dimensión fuera de especificación", 2, 1))</f>
        <v>3</v>
      </c>
    </row>
    <row r="193" spans="1:17" x14ac:dyDescent="0.3">
      <c r="A193" s="2">
        <v>45215</v>
      </c>
      <c r="B193" t="s">
        <v>19</v>
      </c>
      <c r="C193" t="s">
        <v>15</v>
      </c>
      <c r="D193">
        <v>192</v>
      </c>
      <c r="E193">
        <v>9</v>
      </c>
      <c r="F193" t="s">
        <v>10</v>
      </c>
      <c r="G193">
        <v>0</v>
      </c>
      <c r="H193" t="s">
        <v>26</v>
      </c>
      <c r="I193">
        <f>(480 - Tabla1[Minutos_Paro]) / 60</f>
        <v>8</v>
      </c>
      <c r="J193" t="str">
        <f>IF(Tabla1[Unidades_Defectuosas] &gt; Tabla1[Unidades_Producidas], "ERROR", "OK")</f>
        <v>OK</v>
      </c>
      <c r="K193" s="1">
        <f>Tabla1[Minutos_Paro] / Tabla1[Unidades_Producidas]</f>
        <v>0</v>
      </c>
      <c r="L193">
        <f>Tabla1[Unidades_Producidas] - Tabla1[Unidades_Defectuosas]</f>
        <v>183</v>
      </c>
      <c r="M193" s="3" t="str">
        <f>IF(Tabla1[Minutos_Paro]=0,"Nula",IF(Tabla1[Minutos_Paro]&lt;30,"Baja",IF(Tabla1[Minutos_Paro]&lt;60,"Media","Alta")))</f>
        <v>Nula</v>
      </c>
      <c r="N193" s="3">
        <f>250</f>
        <v>250</v>
      </c>
      <c r="O193" s="4">
        <f>Tabla1[Unidades_Defectuosas] / Tabla1[Unidades_Producidas]</f>
        <v>4.6875E-2</v>
      </c>
      <c r="P193" s="4">
        <f>Tabla1[Unidades_Buenas] / Tabla1[Unidades_Producidas]</f>
        <v>0.953125</v>
      </c>
      <c r="Q193" s="3">
        <f>IF(Tabla1[Tipo_Defecto_Principal]="Falla de material", 3, IF(Tabla1[Tipo_Defecto_Principal]="Dimensión fuera de especificación", 2, 1))</f>
        <v>2</v>
      </c>
    </row>
    <row r="194" spans="1:17" x14ac:dyDescent="0.3">
      <c r="A194" s="2">
        <v>45216</v>
      </c>
      <c r="B194" t="s">
        <v>8</v>
      </c>
      <c r="C194" t="s">
        <v>9</v>
      </c>
      <c r="D194">
        <v>216</v>
      </c>
      <c r="E194">
        <v>8</v>
      </c>
      <c r="F194" t="s">
        <v>10</v>
      </c>
      <c r="G194">
        <v>0</v>
      </c>
      <c r="H194" t="s">
        <v>26</v>
      </c>
      <c r="I194">
        <f>(480 - Tabla1[Minutos_Paro]) / 60</f>
        <v>8</v>
      </c>
      <c r="J194" t="str">
        <f>IF(Tabla1[Unidades_Defectuosas] &gt; Tabla1[Unidades_Producidas], "ERROR", "OK")</f>
        <v>OK</v>
      </c>
      <c r="K194" s="1">
        <f>Tabla1[Minutos_Paro] / Tabla1[Unidades_Producidas]</f>
        <v>0</v>
      </c>
      <c r="L194">
        <f>Tabla1[Unidades_Producidas] - Tabla1[Unidades_Defectuosas]</f>
        <v>208</v>
      </c>
      <c r="M194" s="3" t="str">
        <f>IF(Tabla1[Minutos_Paro]=0,"Nula",IF(Tabla1[Minutos_Paro]&lt;30,"Baja",IF(Tabla1[Minutos_Paro]&lt;60,"Media","Alta")))</f>
        <v>Nula</v>
      </c>
      <c r="N194" s="3">
        <f>250</f>
        <v>250</v>
      </c>
      <c r="O194" s="4">
        <f>Tabla1[Unidades_Defectuosas] / Tabla1[Unidades_Producidas]</f>
        <v>3.7037037037037035E-2</v>
      </c>
      <c r="P194" s="4">
        <f>Tabla1[Unidades_Buenas] / Tabla1[Unidades_Producidas]</f>
        <v>0.96296296296296291</v>
      </c>
      <c r="Q194" s="3">
        <f>IF(Tabla1[Tipo_Defecto_Principal]="Falla de material", 3, IF(Tabla1[Tipo_Defecto_Principal]="Dimensión fuera de especificación", 2, 1))</f>
        <v>2</v>
      </c>
    </row>
    <row r="195" spans="1:17" x14ac:dyDescent="0.3">
      <c r="A195" s="2">
        <v>45216</v>
      </c>
      <c r="B195" t="s">
        <v>8</v>
      </c>
      <c r="C195" t="s">
        <v>12</v>
      </c>
      <c r="D195">
        <v>212</v>
      </c>
      <c r="E195">
        <v>13</v>
      </c>
      <c r="F195" t="s">
        <v>10</v>
      </c>
      <c r="G195">
        <v>0</v>
      </c>
      <c r="H195" t="s">
        <v>26</v>
      </c>
      <c r="I195">
        <f>(480 - Tabla1[Minutos_Paro]) / 60</f>
        <v>8</v>
      </c>
      <c r="J195" t="str">
        <f>IF(Tabla1[Unidades_Defectuosas] &gt; Tabla1[Unidades_Producidas], "ERROR", "OK")</f>
        <v>OK</v>
      </c>
      <c r="K195" s="1">
        <f>Tabla1[Minutos_Paro] / Tabla1[Unidades_Producidas]</f>
        <v>0</v>
      </c>
      <c r="L195">
        <f>Tabla1[Unidades_Producidas] - Tabla1[Unidades_Defectuosas]</f>
        <v>199</v>
      </c>
      <c r="M195" s="3" t="str">
        <f>IF(Tabla1[Minutos_Paro]=0,"Nula",IF(Tabla1[Minutos_Paro]&lt;30,"Baja",IF(Tabla1[Minutos_Paro]&lt;60,"Media","Alta")))</f>
        <v>Nula</v>
      </c>
      <c r="N195" s="3">
        <f>250</f>
        <v>250</v>
      </c>
      <c r="O195" s="4">
        <f>Tabla1[Unidades_Defectuosas] / Tabla1[Unidades_Producidas]</f>
        <v>6.1320754716981132E-2</v>
      </c>
      <c r="P195" s="4">
        <f>Tabla1[Unidades_Buenas] / Tabla1[Unidades_Producidas]</f>
        <v>0.93867924528301883</v>
      </c>
      <c r="Q195" s="3">
        <f>IF(Tabla1[Tipo_Defecto_Principal]="Falla de material", 3, IF(Tabla1[Tipo_Defecto_Principal]="Dimensión fuera de especificación", 2, 1))</f>
        <v>2</v>
      </c>
    </row>
    <row r="196" spans="1:17" x14ac:dyDescent="0.3">
      <c r="A196" s="2">
        <v>45216</v>
      </c>
      <c r="B196" t="s">
        <v>8</v>
      </c>
      <c r="C196" t="s">
        <v>13</v>
      </c>
      <c r="D196">
        <v>194</v>
      </c>
      <c r="E196">
        <v>5</v>
      </c>
      <c r="F196" t="s">
        <v>14</v>
      </c>
      <c r="G196">
        <v>0</v>
      </c>
      <c r="H196" t="s">
        <v>26</v>
      </c>
      <c r="I196">
        <f>(480 - Tabla1[Minutos_Paro]) / 60</f>
        <v>8</v>
      </c>
      <c r="J196" t="str">
        <f>IF(Tabla1[Unidades_Defectuosas] &gt; Tabla1[Unidades_Producidas], "ERROR", "OK")</f>
        <v>OK</v>
      </c>
      <c r="K196" s="1">
        <f>Tabla1[Minutos_Paro] / Tabla1[Unidades_Producidas]</f>
        <v>0</v>
      </c>
      <c r="L196">
        <f>Tabla1[Unidades_Producidas] - Tabla1[Unidades_Defectuosas]</f>
        <v>189</v>
      </c>
      <c r="M196" s="3" t="str">
        <f>IF(Tabla1[Minutos_Paro]=0,"Nula",IF(Tabla1[Minutos_Paro]&lt;30,"Baja",IF(Tabla1[Minutos_Paro]&lt;60,"Media","Alta")))</f>
        <v>Nula</v>
      </c>
      <c r="N196" s="3">
        <f>250</f>
        <v>250</v>
      </c>
      <c r="O196" s="4">
        <f>Tabla1[Unidades_Defectuosas] / Tabla1[Unidades_Producidas]</f>
        <v>2.5773195876288658E-2</v>
      </c>
      <c r="P196" s="4">
        <f>Tabla1[Unidades_Buenas] / Tabla1[Unidades_Producidas]</f>
        <v>0.97422680412371132</v>
      </c>
      <c r="Q196" s="3">
        <f>IF(Tabla1[Tipo_Defecto_Principal]="Falla de material", 3, IF(Tabla1[Tipo_Defecto_Principal]="Dimensión fuera de especificación", 2, 1))</f>
        <v>3</v>
      </c>
    </row>
    <row r="197" spans="1:17" x14ac:dyDescent="0.3">
      <c r="A197" s="2">
        <v>45216</v>
      </c>
      <c r="B197" t="s">
        <v>8</v>
      </c>
      <c r="C197" t="s">
        <v>15</v>
      </c>
      <c r="D197">
        <v>243</v>
      </c>
      <c r="E197">
        <v>8</v>
      </c>
      <c r="F197" t="s">
        <v>18</v>
      </c>
      <c r="G197">
        <v>0</v>
      </c>
      <c r="H197" t="s">
        <v>26</v>
      </c>
      <c r="I197">
        <f>(480 - Tabla1[Minutos_Paro]) / 60</f>
        <v>8</v>
      </c>
      <c r="J197" t="str">
        <f>IF(Tabla1[Unidades_Defectuosas] &gt; Tabla1[Unidades_Producidas], "ERROR", "OK")</f>
        <v>OK</v>
      </c>
      <c r="K197" s="1">
        <f>Tabla1[Minutos_Paro] / Tabla1[Unidades_Producidas]</f>
        <v>0</v>
      </c>
      <c r="L197">
        <f>Tabla1[Unidades_Producidas] - Tabla1[Unidades_Defectuosas]</f>
        <v>235</v>
      </c>
      <c r="M197" s="3" t="str">
        <f>IF(Tabla1[Minutos_Paro]=0,"Nula",IF(Tabla1[Minutos_Paro]&lt;30,"Baja",IF(Tabla1[Minutos_Paro]&lt;60,"Media","Alta")))</f>
        <v>Nula</v>
      </c>
      <c r="N197" s="3">
        <f>250</f>
        <v>250</v>
      </c>
      <c r="O197" s="4">
        <f>Tabla1[Unidades_Defectuosas] / Tabla1[Unidades_Producidas]</f>
        <v>3.292181069958848E-2</v>
      </c>
      <c r="P197" s="4">
        <f>Tabla1[Unidades_Buenas] / Tabla1[Unidades_Producidas]</f>
        <v>0.96707818930041156</v>
      </c>
      <c r="Q197" s="3">
        <f>IF(Tabla1[Tipo_Defecto_Principal]="Falla de material", 3, IF(Tabla1[Tipo_Defecto_Principal]="Dimensión fuera de especificación", 2, 1))</f>
        <v>1</v>
      </c>
    </row>
    <row r="198" spans="1:17" x14ac:dyDescent="0.3">
      <c r="A198" s="2">
        <v>45216</v>
      </c>
      <c r="B198" t="s">
        <v>17</v>
      </c>
      <c r="C198" t="s">
        <v>9</v>
      </c>
      <c r="D198">
        <v>221</v>
      </c>
      <c r="E198">
        <v>9</v>
      </c>
      <c r="F198" t="s">
        <v>16</v>
      </c>
      <c r="G198">
        <v>15</v>
      </c>
      <c r="H198" t="s">
        <v>11</v>
      </c>
      <c r="I198">
        <f>(480 - Tabla1[Minutos_Paro]) / 60</f>
        <v>7.75</v>
      </c>
      <c r="J198" t="str">
        <f>IF(Tabla1[Unidades_Defectuosas] &gt; Tabla1[Unidades_Producidas], "ERROR", "OK")</f>
        <v>OK</v>
      </c>
      <c r="K198" s="1">
        <f>Tabla1[Minutos_Paro] / Tabla1[Unidades_Producidas]</f>
        <v>6.7873303167420809E-2</v>
      </c>
      <c r="L198">
        <f>Tabla1[Unidades_Producidas] - Tabla1[Unidades_Defectuosas]</f>
        <v>212</v>
      </c>
      <c r="M198" s="3" t="str">
        <f>IF(Tabla1[Minutos_Paro]=0,"Nula",IF(Tabla1[Minutos_Paro]&lt;30,"Baja",IF(Tabla1[Minutos_Paro]&lt;60,"Media","Alta")))</f>
        <v>Baja</v>
      </c>
      <c r="N198" s="3">
        <f>250</f>
        <v>250</v>
      </c>
      <c r="O198" s="4">
        <f>Tabla1[Unidades_Defectuosas] / Tabla1[Unidades_Producidas]</f>
        <v>4.072398190045249E-2</v>
      </c>
      <c r="P198" s="4">
        <f>Tabla1[Unidades_Buenas] / Tabla1[Unidades_Producidas]</f>
        <v>0.95927601809954754</v>
      </c>
      <c r="Q198" s="3">
        <f>IF(Tabla1[Tipo_Defecto_Principal]="Falla de material", 3, IF(Tabla1[Tipo_Defecto_Principal]="Dimensión fuera de especificación", 2, 1))</f>
        <v>1</v>
      </c>
    </row>
    <row r="199" spans="1:17" x14ac:dyDescent="0.3">
      <c r="A199" s="2">
        <v>45216</v>
      </c>
      <c r="B199" t="s">
        <v>17</v>
      </c>
      <c r="C199" t="s">
        <v>12</v>
      </c>
      <c r="D199">
        <v>184</v>
      </c>
      <c r="E199">
        <v>8</v>
      </c>
      <c r="F199" t="s">
        <v>10</v>
      </c>
      <c r="G199">
        <v>0</v>
      </c>
      <c r="H199" t="s">
        <v>26</v>
      </c>
      <c r="I199">
        <f>(480 - Tabla1[Minutos_Paro]) / 60</f>
        <v>8</v>
      </c>
      <c r="J199" t="str">
        <f>IF(Tabla1[Unidades_Defectuosas] &gt; Tabla1[Unidades_Producidas], "ERROR", "OK")</f>
        <v>OK</v>
      </c>
      <c r="K199" s="1">
        <f>Tabla1[Minutos_Paro] / Tabla1[Unidades_Producidas]</f>
        <v>0</v>
      </c>
      <c r="L199">
        <f>Tabla1[Unidades_Producidas] - Tabla1[Unidades_Defectuosas]</f>
        <v>176</v>
      </c>
      <c r="M199" s="3" t="str">
        <f>IF(Tabla1[Minutos_Paro]=0,"Nula",IF(Tabla1[Minutos_Paro]&lt;30,"Baja",IF(Tabla1[Minutos_Paro]&lt;60,"Media","Alta")))</f>
        <v>Nula</v>
      </c>
      <c r="N199" s="3">
        <f>250</f>
        <v>250</v>
      </c>
      <c r="O199" s="4">
        <f>Tabla1[Unidades_Defectuosas] / Tabla1[Unidades_Producidas]</f>
        <v>4.3478260869565216E-2</v>
      </c>
      <c r="P199" s="4">
        <f>Tabla1[Unidades_Buenas] / Tabla1[Unidades_Producidas]</f>
        <v>0.95652173913043481</v>
      </c>
      <c r="Q199" s="3">
        <f>IF(Tabla1[Tipo_Defecto_Principal]="Falla de material", 3, IF(Tabla1[Tipo_Defecto_Principal]="Dimensión fuera de especificación", 2, 1))</f>
        <v>2</v>
      </c>
    </row>
    <row r="200" spans="1:17" x14ac:dyDescent="0.3">
      <c r="A200" s="2">
        <v>45216</v>
      </c>
      <c r="B200" t="s">
        <v>17</v>
      </c>
      <c r="C200" t="s">
        <v>13</v>
      </c>
      <c r="D200">
        <v>229</v>
      </c>
      <c r="E200">
        <v>4</v>
      </c>
      <c r="F200" t="s">
        <v>18</v>
      </c>
      <c r="G200">
        <v>0</v>
      </c>
      <c r="H200" t="s">
        <v>26</v>
      </c>
      <c r="I200">
        <f>(480 - Tabla1[Minutos_Paro]) / 60</f>
        <v>8</v>
      </c>
      <c r="J200" t="str">
        <f>IF(Tabla1[Unidades_Defectuosas] &gt; Tabla1[Unidades_Producidas], "ERROR", "OK")</f>
        <v>OK</v>
      </c>
      <c r="K200" s="1">
        <f>Tabla1[Minutos_Paro] / Tabla1[Unidades_Producidas]</f>
        <v>0</v>
      </c>
      <c r="L200">
        <f>Tabla1[Unidades_Producidas] - Tabla1[Unidades_Defectuosas]</f>
        <v>225</v>
      </c>
      <c r="M200" s="3" t="str">
        <f>IF(Tabla1[Minutos_Paro]=0,"Nula",IF(Tabla1[Minutos_Paro]&lt;30,"Baja",IF(Tabla1[Minutos_Paro]&lt;60,"Media","Alta")))</f>
        <v>Nula</v>
      </c>
      <c r="N200" s="3">
        <f>250</f>
        <v>250</v>
      </c>
      <c r="O200" s="4">
        <f>Tabla1[Unidades_Defectuosas] / Tabla1[Unidades_Producidas]</f>
        <v>1.7467248908296942E-2</v>
      </c>
      <c r="P200" s="4">
        <f>Tabla1[Unidades_Buenas] / Tabla1[Unidades_Producidas]</f>
        <v>0.98253275109170302</v>
      </c>
      <c r="Q200" s="3">
        <f>IF(Tabla1[Tipo_Defecto_Principal]="Falla de material", 3, IF(Tabla1[Tipo_Defecto_Principal]="Dimensión fuera de especificación", 2, 1))</f>
        <v>1</v>
      </c>
    </row>
    <row r="201" spans="1:17" x14ac:dyDescent="0.3">
      <c r="A201" s="2">
        <v>45216</v>
      </c>
      <c r="B201" t="s">
        <v>17</v>
      </c>
      <c r="C201" t="s">
        <v>15</v>
      </c>
      <c r="D201">
        <v>214</v>
      </c>
      <c r="E201">
        <v>6</v>
      </c>
      <c r="F201" t="s">
        <v>16</v>
      </c>
      <c r="G201">
        <v>0</v>
      </c>
      <c r="H201" t="s">
        <v>26</v>
      </c>
      <c r="I201">
        <f>(480 - Tabla1[Minutos_Paro]) / 60</f>
        <v>8</v>
      </c>
      <c r="J201" t="str">
        <f>IF(Tabla1[Unidades_Defectuosas] &gt; Tabla1[Unidades_Producidas], "ERROR", "OK")</f>
        <v>OK</v>
      </c>
      <c r="K201" s="1">
        <f>Tabla1[Minutos_Paro] / Tabla1[Unidades_Producidas]</f>
        <v>0</v>
      </c>
      <c r="L201">
        <f>Tabla1[Unidades_Producidas] - Tabla1[Unidades_Defectuosas]</f>
        <v>208</v>
      </c>
      <c r="M201" s="3" t="str">
        <f>IF(Tabla1[Minutos_Paro]=0,"Nula",IF(Tabla1[Minutos_Paro]&lt;30,"Baja",IF(Tabla1[Minutos_Paro]&lt;60,"Media","Alta")))</f>
        <v>Nula</v>
      </c>
      <c r="N201" s="3">
        <f>250</f>
        <v>250</v>
      </c>
      <c r="O201" s="4">
        <f>Tabla1[Unidades_Defectuosas] / Tabla1[Unidades_Producidas]</f>
        <v>2.8037383177570093E-2</v>
      </c>
      <c r="P201" s="4">
        <f>Tabla1[Unidades_Buenas] / Tabla1[Unidades_Producidas]</f>
        <v>0.9719626168224299</v>
      </c>
      <c r="Q201" s="3">
        <f>IF(Tabla1[Tipo_Defecto_Principal]="Falla de material", 3, IF(Tabla1[Tipo_Defecto_Principal]="Dimensión fuera de especificación", 2, 1))</f>
        <v>1</v>
      </c>
    </row>
    <row r="202" spans="1:17" x14ac:dyDescent="0.3">
      <c r="A202" s="2">
        <v>45216</v>
      </c>
      <c r="B202" t="s">
        <v>19</v>
      </c>
      <c r="C202" t="s">
        <v>9</v>
      </c>
      <c r="D202">
        <v>241</v>
      </c>
      <c r="E202">
        <v>2</v>
      </c>
      <c r="F202" t="s">
        <v>14</v>
      </c>
      <c r="G202">
        <v>0</v>
      </c>
      <c r="H202" t="s">
        <v>26</v>
      </c>
      <c r="I202">
        <f>(480 - Tabla1[Minutos_Paro]) / 60</f>
        <v>8</v>
      </c>
      <c r="J202" t="str">
        <f>IF(Tabla1[Unidades_Defectuosas] &gt; Tabla1[Unidades_Producidas], "ERROR", "OK")</f>
        <v>OK</v>
      </c>
      <c r="K202" s="1">
        <f>Tabla1[Minutos_Paro] / Tabla1[Unidades_Producidas]</f>
        <v>0</v>
      </c>
      <c r="L202">
        <f>Tabla1[Unidades_Producidas] - Tabla1[Unidades_Defectuosas]</f>
        <v>239</v>
      </c>
      <c r="M202" s="3" t="str">
        <f>IF(Tabla1[Minutos_Paro]=0,"Nula",IF(Tabla1[Minutos_Paro]&lt;30,"Baja",IF(Tabla1[Minutos_Paro]&lt;60,"Media","Alta")))</f>
        <v>Nula</v>
      </c>
      <c r="N202" s="3">
        <f>250</f>
        <v>250</v>
      </c>
      <c r="O202" s="4">
        <f>Tabla1[Unidades_Defectuosas] / Tabla1[Unidades_Producidas]</f>
        <v>8.2987551867219917E-3</v>
      </c>
      <c r="P202" s="4">
        <f>Tabla1[Unidades_Buenas] / Tabla1[Unidades_Producidas]</f>
        <v>0.99170124481327804</v>
      </c>
      <c r="Q202" s="3">
        <f>IF(Tabla1[Tipo_Defecto_Principal]="Falla de material", 3, IF(Tabla1[Tipo_Defecto_Principal]="Dimensión fuera de especificación", 2, 1))</f>
        <v>3</v>
      </c>
    </row>
    <row r="203" spans="1:17" x14ac:dyDescent="0.3">
      <c r="A203" s="2">
        <v>45216</v>
      </c>
      <c r="B203" t="s">
        <v>19</v>
      </c>
      <c r="C203" t="s">
        <v>12</v>
      </c>
      <c r="D203">
        <v>187</v>
      </c>
      <c r="E203">
        <v>12</v>
      </c>
      <c r="F203" t="s">
        <v>16</v>
      </c>
      <c r="G203">
        <v>0</v>
      </c>
      <c r="H203" t="s">
        <v>26</v>
      </c>
      <c r="I203">
        <f>(480 - Tabla1[Minutos_Paro]) / 60</f>
        <v>8</v>
      </c>
      <c r="J203" t="str">
        <f>IF(Tabla1[Unidades_Defectuosas] &gt; Tabla1[Unidades_Producidas], "ERROR", "OK")</f>
        <v>OK</v>
      </c>
      <c r="K203" s="1">
        <f>Tabla1[Minutos_Paro] / Tabla1[Unidades_Producidas]</f>
        <v>0</v>
      </c>
      <c r="L203">
        <f>Tabla1[Unidades_Producidas] - Tabla1[Unidades_Defectuosas]</f>
        <v>175</v>
      </c>
      <c r="M203" s="3" t="str">
        <f>IF(Tabla1[Minutos_Paro]=0,"Nula",IF(Tabla1[Minutos_Paro]&lt;30,"Baja",IF(Tabla1[Minutos_Paro]&lt;60,"Media","Alta")))</f>
        <v>Nula</v>
      </c>
      <c r="N203" s="3">
        <f>250</f>
        <v>250</v>
      </c>
      <c r="O203" s="4">
        <f>Tabla1[Unidades_Defectuosas] / Tabla1[Unidades_Producidas]</f>
        <v>6.4171122994652413E-2</v>
      </c>
      <c r="P203" s="4">
        <f>Tabla1[Unidades_Buenas] / Tabla1[Unidades_Producidas]</f>
        <v>0.93582887700534756</v>
      </c>
      <c r="Q203" s="3">
        <f>IF(Tabla1[Tipo_Defecto_Principal]="Falla de material", 3, IF(Tabla1[Tipo_Defecto_Principal]="Dimensión fuera de especificación", 2, 1))</f>
        <v>1</v>
      </c>
    </row>
    <row r="204" spans="1:17" x14ac:dyDescent="0.3">
      <c r="A204" s="2">
        <v>45216</v>
      </c>
      <c r="B204" t="s">
        <v>19</v>
      </c>
      <c r="C204" t="s">
        <v>13</v>
      </c>
      <c r="D204">
        <v>184</v>
      </c>
      <c r="E204">
        <v>5</v>
      </c>
      <c r="F204" t="s">
        <v>16</v>
      </c>
      <c r="G204">
        <v>0</v>
      </c>
      <c r="H204" t="s">
        <v>26</v>
      </c>
      <c r="I204">
        <f>(480 - Tabla1[Minutos_Paro]) / 60</f>
        <v>8</v>
      </c>
      <c r="J204" t="str">
        <f>IF(Tabla1[Unidades_Defectuosas] &gt; Tabla1[Unidades_Producidas], "ERROR", "OK")</f>
        <v>OK</v>
      </c>
      <c r="K204" s="1">
        <f>Tabla1[Minutos_Paro] / Tabla1[Unidades_Producidas]</f>
        <v>0</v>
      </c>
      <c r="L204">
        <f>Tabla1[Unidades_Producidas] - Tabla1[Unidades_Defectuosas]</f>
        <v>179</v>
      </c>
      <c r="M204" s="3" t="str">
        <f>IF(Tabla1[Minutos_Paro]=0,"Nula",IF(Tabla1[Minutos_Paro]&lt;30,"Baja",IF(Tabla1[Minutos_Paro]&lt;60,"Media","Alta")))</f>
        <v>Nula</v>
      </c>
      <c r="N204" s="3">
        <f>250</f>
        <v>250</v>
      </c>
      <c r="O204" s="4">
        <f>Tabla1[Unidades_Defectuosas] / Tabla1[Unidades_Producidas]</f>
        <v>2.717391304347826E-2</v>
      </c>
      <c r="P204" s="4">
        <f>Tabla1[Unidades_Buenas] / Tabla1[Unidades_Producidas]</f>
        <v>0.97282608695652173</v>
      </c>
      <c r="Q204" s="3">
        <f>IF(Tabla1[Tipo_Defecto_Principal]="Falla de material", 3, IF(Tabla1[Tipo_Defecto_Principal]="Dimensión fuera de especificación", 2, 1))</f>
        <v>1</v>
      </c>
    </row>
    <row r="205" spans="1:17" x14ac:dyDescent="0.3">
      <c r="A205" s="2">
        <v>45216</v>
      </c>
      <c r="B205" t="s">
        <v>19</v>
      </c>
      <c r="C205" t="s">
        <v>15</v>
      </c>
      <c r="D205">
        <v>211</v>
      </c>
      <c r="E205">
        <v>5</v>
      </c>
      <c r="F205" t="s">
        <v>18</v>
      </c>
      <c r="G205">
        <v>0</v>
      </c>
      <c r="H205" t="s">
        <v>26</v>
      </c>
      <c r="I205">
        <f>(480 - Tabla1[Minutos_Paro]) / 60</f>
        <v>8</v>
      </c>
      <c r="J205" t="str">
        <f>IF(Tabla1[Unidades_Defectuosas] &gt; Tabla1[Unidades_Producidas], "ERROR", "OK")</f>
        <v>OK</v>
      </c>
      <c r="K205" s="1">
        <f>Tabla1[Minutos_Paro] / Tabla1[Unidades_Producidas]</f>
        <v>0</v>
      </c>
      <c r="L205">
        <f>Tabla1[Unidades_Producidas] - Tabla1[Unidades_Defectuosas]</f>
        <v>206</v>
      </c>
      <c r="M205" s="3" t="str">
        <f>IF(Tabla1[Minutos_Paro]=0,"Nula",IF(Tabla1[Minutos_Paro]&lt;30,"Baja",IF(Tabla1[Minutos_Paro]&lt;60,"Media","Alta")))</f>
        <v>Nula</v>
      </c>
      <c r="N205" s="3">
        <f>250</f>
        <v>250</v>
      </c>
      <c r="O205" s="4">
        <f>Tabla1[Unidades_Defectuosas] / Tabla1[Unidades_Producidas]</f>
        <v>2.3696682464454975E-2</v>
      </c>
      <c r="P205" s="4">
        <f>Tabla1[Unidades_Buenas] / Tabla1[Unidades_Producidas]</f>
        <v>0.976303317535545</v>
      </c>
      <c r="Q205" s="3">
        <f>IF(Tabla1[Tipo_Defecto_Principal]="Falla de material", 3, IF(Tabla1[Tipo_Defecto_Principal]="Dimensión fuera de especificación", 2, 1))</f>
        <v>1</v>
      </c>
    </row>
    <row r="206" spans="1:17" x14ac:dyDescent="0.3">
      <c r="A206" s="2">
        <v>45217</v>
      </c>
      <c r="B206" t="s">
        <v>8</v>
      </c>
      <c r="C206" t="s">
        <v>9</v>
      </c>
      <c r="D206">
        <v>245</v>
      </c>
      <c r="E206">
        <v>8</v>
      </c>
      <c r="F206" t="s">
        <v>18</v>
      </c>
      <c r="G206">
        <v>0</v>
      </c>
      <c r="H206" t="s">
        <v>26</v>
      </c>
      <c r="I206">
        <f>(480 - Tabla1[Minutos_Paro]) / 60</f>
        <v>8</v>
      </c>
      <c r="J206" t="str">
        <f>IF(Tabla1[Unidades_Defectuosas] &gt; Tabla1[Unidades_Producidas], "ERROR", "OK")</f>
        <v>OK</v>
      </c>
      <c r="K206" s="1">
        <f>Tabla1[Minutos_Paro] / Tabla1[Unidades_Producidas]</f>
        <v>0</v>
      </c>
      <c r="L206">
        <f>Tabla1[Unidades_Producidas] - Tabla1[Unidades_Defectuosas]</f>
        <v>237</v>
      </c>
      <c r="M206" s="3" t="str">
        <f>IF(Tabla1[Minutos_Paro]=0,"Nula",IF(Tabla1[Minutos_Paro]&lt;30,"Baja",IF(Tabla1[Minutos_Paro]&lt;60,"Media","Alta")))</f>
        <v>Nula</v>
      </c>
      <c r="N206" s="3">
        <f>250</f>
        <v>250</v>
      </c>
      <c r="O206" s="4">
        <f>Tabla1[Unidades_Defectuosas] / Tabla1[Unidades_Producidas]</f>
        <v>3.2653061224489799E-2</v>
      </c>
      <c r="P206" s="4">
        <f>Tabla1[Unidades_Buenas] / Tabla1[Unidades_Producidas]</f>
        <v>0.96734693877551026</v>
      </c>
      <c r="Q206" s="3">
        <f>IF(Tabla1[Tipo_Defecto_Principal]="Falla de material", 3, IF(Tabla1[Tipo_Defecto_Principal]="Dimensión fuera de especificación", 2, 1))</f>
        <v>1</v>
      </c>
    </row>
    <row r="207" spans="1:17" x14ac:dyDescent="0.3">
      <c r="A207" s="2">
        <v>45217</v>
      </c>
      <c r="B207" t="s">
        <v>8</v>
      </c>
      <c r="C207" t="s">
        <v>12</v>
      </c>
      <c r="D207">
        <v>194</v>
      </c>
      <c r="E207">
        <v>10</v>
      </c>
      <c r="F207" t="s">
        <v>10</v>
      </c>
      <c r="G207">
        <v>0</v>
      </c>
      <c r="H207" t="s">
        <v>26</v>
      </c>
      <c r="I207">
        <f>(480 - Tabla1[Minutos_Paro]) / 60</f>
        <v>8</v>
      </c>
      <c r="J207" t="str">
        <f>IF(Tabla1[Unidades_Defectuosas] &gt; Tabla1[Unidades_Producidas], "ERROR", "OK")</f>
        <v>OK</v>
      </c>
      <c r="K207" s="1">
        <f>Tabla1[Minutos_Paro] / Tabla1[Unidades_Producidas]</f>
        <v>0</v>
      </c>
      <c r="L207">
        <f>Tabla1[Unidades_Producidas] - Tabla1[Unidades_Defectuosas]</f>
        <v>184</v>
      </c>
      <c r="M207" s="3" t="str">
        <f>IF(Tabla1[Minutos_Paro]=0,"Nula",IF(Tabla1[Minutos_Paro]&lt;30,"Baja",IF(Tabla1[Minutos_Paro]&lt;60,"Media","Alta")))</f>
        <v>Nula</v>
      </c>
      <c r="N207" s="3">
        <f>250</f>
        <v>250</v>
      </c>
      <c r="O207" s="4">
        <f>Tabla1[Unidades_Defectuosas] / Tabla1[Unidades_Producidas]</f>
        <v>5.1546391752577317E-2</v>
      </c>
      <c r="P207" s="4">
        <f>Tabla1[Unidades_Buenas] / Tabla1[Unidades_Producidas]</f>
        <v>0.94845360824742264</v>
      </c>
      <c r="Q207" s="3">
        <f>IF(Tabla1[Tipo_Defecto_Principal]="Falla de material", 3, IF(Tabla1[Tipo_Defecto_Principal]="Dimensión fuera de especificación", 2, 1))</f>
        <v>2</v>
      </c>
    </row>
    <row r="208" spans="1:17" x14ac:dyDescent="0.3">
      <c r="A208" s="2">
        <v>45217</v>
      </c>
      <c r="B208" t="s">
        <v>8</v>
      </c>
      <c r="C208" t="s">
        <v>13</v>
      </c>
      <c r="D208">
        <v>209</v>
      </c>
      <c r="E208">
        <v>5</v>
      </c>
      <c r="F208" t="s">
        <v>10</v>
      </c>
      <c r="G208">
        <v>0</v>
      </c>
      <c r="H208" t="s">
        <v>26</v>
      </c>
      <c r="I208">
        <f>(480 - Tabla1[Minutos_Paro]) / 60</f>
        <v>8</v>
      </c>
      <c r="J208" t="str">
        <f>IF(Tabla1[Unidades_Defectuosas] &gt; Tabla1[Unidades_Producidas], "ERROR", "OK")</f>
        <v>OK</v>
      </c>
      <c r="K208" s="1">
        <f>Tabla1[Minutos_Paro] / Tabla1[Unidades_Producidas]</f>
        <v>0</v>
      </c>
      <c r="L208">
        <f>Tabla1[Unidades_Producidas] - Tabla1[Unidades_Defectuosas]</f>
        <v>204</v>
      </c>
      <c r="M208" s="3" t="str">
        <f>IF(Tabla1[Minutos_Paro]=0,"Nula",IF(Tabla1[Minutos_Paro]&lt;30,"Baja",IF(Tabla1[Minutos_Paro]&lt;60,"Media","Alta")))</f>
        <v>Nula</v>
      </c>
      <c r="N208" s="3">
        <f>250</f>
        <v>250</v>
      </c>
      <c r="O208" s="4">
        <f>Tabla1[Unidades_Defectuosas] / Tabla1[Unidades_Producidas]</f>
        <v>2.3923444976076555E-2</v>
      </c>
      <c r="P208" s="4">
        <f>Tabla1[Unidades_Buenas] / Tabla1[Unidades_Producidas]</f>
        <v>0.97607655502392343</v>
      </c>
      <c r="Q208" s="3">
        <f>IF(Tabla1[Tipo_Defecto_Principal]="Falla de material", 3, IF(Tabla1[Tipo_Defecto_Principal]="Dimensión fuera de especificación", 2, 1))</f>
        <v>2</v>
      </c>
    </row>
    <row r="209" spans="1:17" x14ac:dyDescent="0.3">
      <c r="A209" s="2">
        <v>45217</v>
      </c>
      <c r="B209" t="s">
        <v>8</v>
      </c>
      <c r="C209" t="s">
        <v>15</v>
      </c>
      <c r="D209">
        <v>214</v>
      </c>
      <c r="E209">
        <v>10</v>
      </c>
      <c r="F209" t="s">
        <v>18</v>
      </c>
      <c r="G209">
        <v>0</v>
      </c>
      <c r="H209" t="s">
        <v>26</v>
      </c>
      <c r="I209">
        <f>(480 - Tabla1[Minutos_Paro]) / 60</f>
        <v>8</v>
      </c>
      <c r="J209" t="str">
        <f>IF(Tabla1[Unidades_Defectuosas] &gt; Tabla1[Unidades_Producidas], "ERROR", "OK")</f>
        <v>OK</v>
      </c>
      <c r="K209" s="1">
        <f>Tabla1[Minutos_Paro] / Tabla1[Unidades_Producidas]</f>
        <v>0</v>
      </c>
      <c r="L209">
        <f>Tabla1[Unidades_Producidas] - Tabla1[Unidades_Defectuosas]</f>
        <v>204</v>
      </c>
      <c r="M209" s="3" t="str">
        <f>IF(Tabla1[Minutos_Paro]=0,"Nula",IF(Tabla1[Minutos_Paro]&lt;30,"Baja",IF(Tabla1[Minutos_Paro]&lt;60,"Media","Alta")))</f>
        <v>Nula</v>
      </c>
      <c r="N209" s="3">
        <f>250</f>
        <v>250</v>
      </c>
      <c r="O209" s="4">
        <f>Tabla1[Unidades_Defectuosas] / Tabla1[Unidades_Producidas]</f>
        <v>4.6728971962616821E-2</v>
      </c>
      <c r="P209" s="4">
        <f>Tabla1[Unidades_Buenas] / Tabla1[Unidades_Producidas]</f>
        <v>0.95327102803738317</v>
      </c>
      <c r="Q209" s="3">
        <f>IF(Tabla1[Tipo_Defecto_Principal]="Falla de material", 3, IF(Tabla1[Tipo_Defecto_Principal]="Dimensión fuera de especificación", 2, 1))</f>
        <v>1</v>
      </c>
    </row>
    <row r="210" spans="1:17" x14ac:dyDescent="0.3">
      <c r="A210" s="2">
        <v>45217</v>
      </c>
      <c r="B210" t="s">
        <v>17</v>
      </c>
      <c r="C210" t="s">
        <v>9</v>
      </c>
      <c r="D210">
        <v>220</v>
      </c>
      <c r="E210">
        <v>6</v>
      </c>
      <c r="F210" t="s">
        <v>16</v>
      </c>
      <c r="G210">
        <v>0</v>
      </c>
      <c r="H210" t="s">
        <v>26</v>
      </c>
      <c r="I210">
        <f>(480 - Tabla1[Minutos_Paro]) / 60</f>
        <v>8</v>
      </c>
      <c r="J210" t="str">
        <f>IF(Tabla1[Unidades_Defectuosas] &gt; Tabla1[Unidades_Producidas], "ERROR", "OK")</f>
        <v>OK</v>
      </c>
      <c r="K210" s="1">
        <f>Tabla1[Minutos_Paro] / Tabla1[Unidades_Producidas]</f>
        <v>0</v>
      </c>
      <c r="L210">
        <f>Tabla1[Unidades_Producidas] - Tabla1[Unidades_Defectuosas]</f>
        <v>214</v>
      </c>
      <c r="M210" s="3" t="str">
        <f>IF(Tabla1[Minutos_Paro]=0,"Nula",IF(Tabla1[Minutos_Paro]&lt;30,"Baja",IF(Tabla1[Minutos_Paro]&lt;60,"Media","Alta")))</f>
        <v>Nula</v>
      </c>
      <c r="N210" s="3">
        <f>250</f>
        <v>250</v>
      </c>
      <c r="O210" s="4">
        <f>Tabla1[Unidades_Defectuosas] / Tabla1[Unidades_Producidas]</f>
        <v>2.7272727272727271E-2</v>
      </c>
      <c r="P210" s="4">
        <f>Tabla1[Unidades_Buenas] / Tabla1[Unidades_Producidas]</f>
        <v>0.97272727272727277</v>
      </c>
      <c r="Q210" s="3">
        <f>IF(Tabla1[Tipo_Defecto_Principal]="Falla de material", 3, IF(Tabla1[Tipo_Defecto_Principal]="Dimensión fuera de especificación", 2, 1))</f>
        <v>1</v>
      </c>
    </row>
    <row r="211" spans="1:17" x14ac:dyDescent="0.3">
      <c r="A211" s="2">
        <v>45217</v>
      </c>
      <c r="B211" t="s">
        <v>17</v>
      </c>
      <c r="C211" t="s">
        <v>12</v>
      </c>
      <c r="D211">
        <v>192</v>
      </c>
      <c r="E211">
        <v>13</v>
      </c>
      <c r="F211" t="s">
        <v>10</v>
      </c>
      <c r="G211">
        <v>0</v>
      </c>
      <c r="H211" t="s">
        <v>26</v>
      </c>
      <c r="I211">
        <f>(480 - Tabla1[Minutos_Paro]) / 60</f>
        <v>8</v>
      </c>
      <c r="J211" t="str">
        <f>IF(Tabla1[Unidades_Defectuosas] &gt; Tabla1[Unidades_Producidas], "ERROR", "OK")</f>
        <v>OK</v>
      </c>
      <c r="K211" s="1">
        <f>Tabla1[Minutos_Paro] / Tabla1[Unidades_Producidas]</f>
        <v>0</v>
      </c>
      <c r="L211">
        <f>Tabla1[Unidades_Producidas] - Tabla1[Unidades_Defectuosas]</f>
        <v>179</v>
      </c>
      <c r="M211" s="3" t="str">
        <f>IF(Tabla1[Minutos_Paro]=0,"Nula",IF(Tabla1[Minutos_Paro]&lt;30,"Baja",IF(Tabla1[Minutos_Paro]&lt;60,"Media","Alta")))</f>
        <v>Nula</v>
      </c>
      <c r="N211" s="3">
        <f>250</f>
        <v>250</v>
      </c>
      <c r="O211" s="4">
        <f>Tabla1[Unidades_Defectuosas] / Tabla1[Unidades_Producidas]</f>
        <v>6.7708333333333329E-2</v>
      </c>
      <c r="P211" s="4">
        <f>Tabla1[Unidades_Buenas] / Tabla1[Unidades_Producidas]</f>
        <v>0.93229166666666663</v>
      </c>
      <c r="Q211" s="3">
        <f>IF(Tabla1[Tipo_Defecto_Principal]="Falla de material", 3, IF(Tabla1[Tipo_Defecto_Principal]="Dimensión fuera de especificación", 2, 1))</f>
        <v>2</v>
      </c>
    </row>
    <row r="212" spans="1:17" x14ac:dyDescent="0.3">
      <c r="A212" s="2">
        <v>45217</v>
      </c>
      <c r="B212" t="s">
        <v>17</v>
      </c>
      <c r="C212" t="s">
        <v>13</v>
      </c>
      <c r="D212">
        <v>222</v>
      </c>
      <c r="E212">
        <v>6</v>
      </c>
      <c r="F212" t="s">
        <v>18</v>
      </c>
      <c r="G212">
        <v>120</v>
      </c>
      <c r="H212" t="s">
        <v>25</v>
      </c>
      <c r="I212">
        <f>(480 - Tabla1[Minutos_Paro]) / 60</f>
        <v>6</v>
      </c>
      <c r="J212" t="str">
        <f>IF(Tabla1[Unidades_Defectuosas] &gt; Tabla1[Unidades_Producidas], "ERROR", "OK")</f>
        <v>OK</v>
      </c>
      <c r="K212" s="1">
        <f>Tabla1[Minutos_Paro] / Tabla1[Unidades_Producidas]</f>
        <v>0.54054054054054057</v>
      </c>
      <c r="L212">
        <f>Tabla1[Unidades_Producidas] - Tabla1[Unidades_Defectuosas]</f>
        <v>216</v>
      </c>
      <c r="M212" s="3" t="str">
        <f>IF(Tabla1[Minutos_Paro]=0,"Nula",IF(Tabla1[Minutos_Paro]&lt;30,"Baja",IF(Tabla1[Minutos_Paro]&lt;60,"Media","Alta")))</f>
        <v>Alta</v>
      </c>
      <c r="N212" s="3">
        <f>250</f>
        <v>250</v>
      </c>
      <c r="O212" s="4">
        <f>Tabla1[Unidades_Defectuosas] / Tabla1[Unidades_Producidas]</f>
        <v>2.7027027027027029E-2</v>
      </c>
      <c r="P212" s="4">
        <f>Tabla1[Unidades_Buenas] / Tabla1[Unidades_Producidas]</f>
        <v>0.97297297297297303</v>
      </c>
      <c r="Q212" s="3">
        <f>IF(Tabla1[Tipo_Defecto_Principal]="Falla de material", 3, IF(Tabla1[Tipo_Defecto_Principal]="Dimensión fuera de especificación", 2, 1))</f>
        <v>1</v>
      </c>
    </row>
    <row r="213" spans="1:17" x14ac:dyDescent="0.3">
      <c r="A213" s="2">
        <v>45217</v>
      </c>
      <c r="B213" t="s">
        <v>17</v>
      </c>
      <c r="C213" t="s">
        <v>15</v>
      </c>
      <c r="D213">
        <v>210</v>
      </c>
      <c r="E213">
        <v>5</v>
      </c>
      <c r="F213" t="s">
        <v>16</v>
      </c>
      <c r="G213">
        <v>0</v>
      </c>
      <c r="H213" t="s">
        <v>26</v>
      </c>
      <c r="I213">
        <f>(480 - Tabla1[Minutos_Paro]) / 60</f>
        <v>8</v>
      </c>
      <c r="J213" t="str">
        <f>IF(Tabla1[Unidades_Defectuosas] &gt; Tabla1[Unidades_Producidas], "ERROR", "OK")</f>
        <v>OK</v>
      </c>
      <c r="K213" s="1">
        <f>Tabla1[Minutos_Paro] / Tabla1[Unidades_Producidas]</f>
        <v>0</v>
      </c>
      <c r="L213">
        <f>Tabla1[Unidades_Producidas] - Tabla1[Unidades_Defectuosas]</f>
        <v>205</v>
      </c>
      <c r="M213" s="3" t="str">
        <f>IF(Tabla1[Minutos_Paro]=0,"Nula",IF(Tabla1[Minutos_Paro]&lt;30,"Baja",IF(Tabla1[Minutos_Paro]&lt;60,"Media","Alta")))</f>
        <v>Nula</v>
      </c>
      <c r="N213" s="3">
        <f>250</f>
        <v>250</v>
      </c>
      <c r="O213" s="4">
        <f>Tabla1[Unidades_Defectuosas] / Tabla1[Unidades_Producidas]</f>
        <v>2.3809523809523808E-2</v>
      </c>
      <c r="P213" s="4">
        <f>Tabla1[Unidades_Buenas] / Tabla1[Unidades_Producidas]</f>
        <v>0.97619047619047616</v>
      </c>
      <c r="Q213" s="3">
        <f>IF(Tabla1[Tipo_Defecto_Principal]="Falla de material", 3, IF(Tabla1[Tipo_Defecto_Principal]="Dimensión fuera de especificación", 2, 1))</f>
        <v>1</v>
      </c>
    </row>
    <row r="214" spans="1:17" x14ac:dyDescent="0.3">
      <c r="A214" s="2">
        <v>45217</v>
      </c>
      <c r="B214" t="s">
        <v>19</v>
      </c>
      <c r="C214" t="s">
        <v>9</v>
      </c>
      <c r="D214">
        <v>195</v>
      </c>
      <c r="E214">
        <v>7</v>
      </c>
      <c r="F214" t="s">
        <v>10</v>
      </c>
      <c r="G214">
        <v>0</v>
      </c>
      <c r="H214" t="s">
        <v>26</v>
      </c>
      <c r="I214">
        <f>(480 - Tabla1[Minutos_Paro]) / 60</f>
        <v>8</v>
      </c>
      <c r="J214" t="str">
        <f>IF(Tabla1[Unidades_Defectuosas] &gt; Tabla1[Unidades_Producidas], "ERROR", "OK")</f>
        <v>OK</v>
      </c>
      <c r="K214" s="1">
        <f>Tabla1[Minutos_Paro] / Tabla1[Unidades_Producidas]</f>
        <v>0</v>
      </c>
      <c r="L214">
        <f>Tabla1[Unidades_Producidas] - Tabla1[Unidades_Defectuosas]</f>
        <v>188</v>
      </c>
      <c r="M214" s="3" t="str">
        <f>IF(Tabla1[Minutos_Paro]=0,"Nula",IF(Tabla1[Minutos_Paro]&lt;30,"Baja",IF(Tabla1[Minutos_Paro]&lt;60,"Media","Alta")))</f>
        <v>Nula</v>
      </c>
      <c r="N214" s="3">
        <f>250</f>
        <v>250</v>
      </c>
      <c r="O214" s="4">
        <f>Tabla1[Unidades_Defectuosas] / Tabla1[Unidades_Producidas]</f>
        <v>3.5897435897435895E-2</v>
      </c>
      <c r="P214" s="4">
        <f>Tabla1[Unidades_Buenas] / Tabla1[Unidades_Producidas]</f>
        <v>0.96410256410256412</v>
      </c>
      <c r="Q214" s="3">
        <f>IF(Tabla1[Tipo_Defecto_Principal]="Falla de material", 3, IF(Tabla1[Tipo_Defecto_Principal]="Dimensión fuera de especificación", 2, 1))</f>
        <v>2</v>
      </c>
    </row>
    <row r="215" spans="1:17" x14ac:dyDescent="0.3">
      <c r="A215" s="2">
        <v>45217</v>
      </c>
      <c r="B215" t="s">
        <v>19</v>
      </c>
      <c r="C215" t="s">
        <v>12</v>
      </c>
      <c r="D215">
        <v>242</v>
      </c>
      <c r="E215">
        <v>23</v>
      </c>
      <c r="F215" t="s">
        <v>10</v>
      </c>
      <c r="G215">
        <v>0</v>
      </c>
      <c r="H215" t="s">
        <v>26</v>
      </c>
      <c r="I215">
        <f>(480 - Tabla1[Minutos_Paro]) / 60</f>
        <v>8</v>
      </c>
      <c r="J215" t="str">
        <f>IF(Tabla1[Unidades_Defectuosas] &gt; Tabla1[Unidades_Producidas], "ERROR", "OK")</f>
        <v>OK</v>
      </c>
      <c r="K215" s="1">
        <f>Tabla1[Minutos_Paro] / Tabla1[Unidades_Producidas]</f>
        <v>0</v>
      </c>
      <c r="L215">
        <f>Tabla1[Unidades_Producidas] - Tabla1[Unidades_Defectuosas]</f>
        <v>219</v>
      </c>
      <c r="M215" s="3" t="str">
        <f>IF(Tabla1[Minutos_Paro]=0,"Nula",IF(Tabla1[Minutos_Paro]&lt;30,"Baja",IF(Tabla1[Minutos_Paro]&lt;60,"Media","Alta")))</f>
        <v>Nula</v>
      </c>
      <c r="N215" s="3">
        <f>250</f>
        <v>250</v>
      </c>
      <c r="O215" s="4">
        <f>Tabla1[Unidades_Defectuosas] / Tabla1[Unidades_Producidas]</f>
        <v>9.5041322314049589E-2</v>
      </c>
      <c r="P215" s="4">
        <f>Tabla1[Unidades_Buenas] / Tabla1[Unidades_Producidas]</f>
        <v>0.9049586776859504</v>
      </c>
      <c r="Q215" s="3">
        <f>IF(Tabla1[Tipo_Defecto_Principal]="Falla de material", 3, IF(Tabla1[Tipo_Defecto_Principal]="Dimensión fuera de especificación", 2, 1))</f>
        <v>2</v>
      </c>
    </row>
    <row r="216" spans="1:17" x14ac:dyDescent="0.3">
      <c r="A216" s="2">
        <v>45217</v>
      </c>
      <c r="B216" t="s">
        <v>19</v>
      </c>
      <c r="C216" t="s">
        <v>13</v>
      </c>
      <c r="D216">
        <v>186</v>
      </c>
      <c r="E216">
        <v>6</v>
      </c>
      <c r="F216" t="s">
        <v>16</v>
      </c>
      <c r="G216">
        <v>0</v>
      </c>
      <c r="H216" t="s">
        <v>26</v>
      </c>
      <c r="I216">
        <f>(480 - Tabla1[Minutos_Paro]) / 60</f>
        <v>8</v>
      </c>
      <c r="J216" t="str">
        <f>IF(Tabla1[Unidades_Defectuosas] &gt; Tabla1[Unidades_Producidas], "ERROR", "OK")</f>
        <v>OK</v>
      </c>
      <c r="K216" s="1">
        <f>Tabla1[Minutos_Paro] / Tabla1[Unidades_Producidas]</f>
        <v>0</v>
      </c>
      <c r="L216">
        <f>Tabla1[Unidades_Producidas] - Tabla1[Unidades_Defectuosas]</f>
        <v>180</v>
      </c>
      <c r="M216" s="3" t="str">
        <f>IF(Tabla1[Minutos_Paro]=0,"Nula",IF(Tabla1[Minutos_Paro]&lt;30,"Baja",IF(Tabla1[Minutos_Paro]&lt;60,"Media","Alta")))</f>
        <v>Nula</v>
      </c>
      <c r="N216" s="3">
        <f>250</f>
        <v>250</v>
      </c>
      <c r="O216" s="4">
        <f>Tabla1[Unidades_Defectuosas] / Tabla1[Unidades_Producidas]</f>
        <v>3.2258064516129031E-2</v>
      </c>
      <c r="P216" s="4">
        <f>Tabla1[Unidades_Buenas] / Tabla1[Unidades_Producidas]</f>
        <v>0.967741935483871</v>
      </c>
      <c r="Q216" s="3">
        <f>IF(Tabla1[Tipo_Defecto_Principal]="Falla de material", 3, IF(Tabla1[Tipo_Defecto_Principal]="Dimensión fuera de especificación", 2, 1))</f>
        <v>1</v>
      </c>
    </row>
    <row r="217" spans="1:17" x14ac:dyDescent="0.3">
      <c r="A217" s="2">
        <v>45217</v>
      </c>
      <c r="B217" t="s">
        <v>19</v>
      </c>
      <c r="C217" t="s">
        <v>15</v>
      </c>
      <c r="D217">
        <v>200</v>
      </c>
      <c r="E217">
        <v>4</v>
      </c>
      <c r="F217" t="s">
        <v>16</v>
      </c>
      <c r="G217">
        <v>0</v>
      </c>
      <c r="H217" t="s">
        <v>26</v>
      </c>
      <c r="I217">
        <f>(480 - Tabla1[Minutos_Paro]) / 60</f>
        <v>8</v>
      </c>
      <c r="J217" t="str">
        <f>IF(Tabla1[Unidades_Defectuosas] &gt; Tabla1[Unidades_Producidas], "ERROR", "OK")</f>
        <v>OK</v>
      </c>
      <c r="K217" s="1">
        <f>Tabla1[Minutos_Paro] / Tabla1[Unidades_Producidas]</f>
        <v>0</v>
      </c>
      <c r="L217">
        <f>Tabla1[Unidades_Producidas] - Tabla1[Unidades_Defectuosas]</f>
        <v>196</v>
      </c>
      <c r="M217" s="3" t="str">
        <f>IF(Tabla1[Minutos_Paro]=0,"Nula",IF(Tabla1[Minutos_Paro]&lt;30,"Baja",IF(Tabla1[Minutos_Paro]&lt;60,"Media","Alta")))</f>
        <v>Nula</v>
      </c>
      <c r="N217" s="3">
        <f>250</f>
        <v>250</v>
      </c>
      <c r="O217" s="4">
        <f>Tabla1[Unidades_Defectuosas] / Tabla1[Unidades_Producidas]</f>
        <v>0.02</v>
      </c>
      <c r="P217" s="4">
        <f>Tabla1[Unidades_Buenas] / Tabla1[Unidades_Producidas]</f>
        <v>0.98</v>
      </c>
      <c r="Q217" s="3">
        <f>IF(Tabla1[Tipo_Defecto_Principal]="Falla de material", 3, IF(Tabla1[Tipo_Defecto_Principal]="Dimensión fuera de especificación", 2, 1))</f>
        <v>1</v>
      </c>
    </row>
    <row r="218" spans="1:17" x14ac:dyDescent="0.3">
      <c r="A218" s="2">
        <v>45218</v>
      </c>
      <c r="B218" t="s">
        <v>8</v>
      </c>
      <c r="C218" t="s">
        <v>9</v>
      </c>
      <c r="D218">
        <v>232</v>
      </c>
      <c r="E218">
        <v>7</v>
      </c>
      <c r="F218" t="s">
        <v>14</v>
      </c>
      <c r="G218">
        <v>0</v>
      </c>
      <c r="H218" t="s">
        <v>26</v>
      </c>
      <c r="I218">
        <f>(480 - Tabla1[Minutos_Paro]) / 60</f>
        <v>8</v>
      </c>
      <c r="J218" t="str">
        <f>IF(Tabla1[Unidades_Defectuosas] &gt; Tabla1[Unidades_Producidas], "ERROR", "OK")</f>
        <v>OK</v>
      </c>
      <c r="K218" s="1">
        <f>Tabla1[Minutos_Paro] / Tabla1[Unidades_Producidas]</f>
        <v>0</v>
      </c>
      <c r="L218">
        <f>Tabla1[Unidades_Producidas] - Tabla1[Unidades_Defectuosas]</f>
        <v>225</v>
      </c>
      <c r="M218" s="3" t="str">
        <f>IF(Tabla1[Minutos_Paro]=0,"Nula",IF(Tabla1[Minutos_Paro]&lt;30,"Baja",IF(Tabla1[Minutos_Paro]&lt;60,"Media","Alta")))</f>
        <v>Nula</v>
      </c>
      <c r="N218" s="3">
        <f>250</f>
        <v>250</v>
      </c>
      <c r="O218" s="4">
        <f>Tabla1[Unidades_Defectuosas] / Tabla1[Unidades_Producidas]</f>
        <v>3.017241379310345E-2</v>
      </c>
      <c r="P218" s="4">
        <f>Tabla1[Unidades_Buenas] / Tabla1[Unidades_Producidas]</f>
        <v>0.96982758620689657</v>
      </c>
      <c r="Q218" s="3">
        <f>IF(Tabla1[Tipo_Defecto_Principal]="Falla de material", 3, IF(Tabla1[Tipo_Defecto_Principal]="Dimensión fuera de especificación", 2, 1))</f>
        <v>3</v>
      </c>
    </row>
    <row r="219" spans="1:17" x14ac:dyDescent="0.3">
      <c r="A219" s="2">
        <v>45218</v>
      </c>
      <c r="B219" t="s">
        <v>8</v>
      </c>
      <c r="C219" t="s">
        <v>12</v>
      </c>
      <c r="D219">
        <v>247</v>
      </c>
      <c r="E219">
        <v>25</v>
      </c>
      <c r="F219" t="s">
        <v>18</v>
      </c>
      <c r="G219">
        <v>0</v>
      </c>
      <c r="H219" t="s">
        <v>26</v>
      </c>
      <c r="I219">
        <f>(480 - Tabla1[Minutos_Paro]) / 60</f>
        <v>8</v>
      </c>
      <c r="J219" t="str">
        <f>IF(Tabla1[Unidades_Defectuosas] &gt; Tabla1[Unidades_Producidas], "ERROR", "OK")</f>
        <v>OK</v>
      </c>
      <c r="K219" s="1">
        <f>Tabla1[Minutos_Paro] / Tabla1[Unidades_Producidas]</f>
        <v>0</v>
      </c>
      <c r="L219">
        <f>Tabla1[Unidades_Producidas] - Tabla1[Unidades_Defectuosas]</f>
        <v>222</v>
      </c>
      <c r="M219" s="3" t="str">
        <f>IF(Tabla1[Minutos_Paro]=0,"Nula",IF(Tabla1[Minutos_Paro]&lt;30,"Baja",IF(Tabla1[Minutos_Paro]&lt;60,"Media","Alta")))</f>
        <v>Nula</v>
      </c>
      <c r="N219" s="3">
        <f>250</f>
        <v>250</v>
      </c>
      <c r="O219" s="4">
        <f>Tabla1[Unidades_Defectuosas] / Tabla1[Unidades_Producidas]</f>
        <v>0.10121457489878542</v>
      </c>
      <c r="P219" s="4">
        <f>Tabla1[Unidades_Buenas] / Tabla1[Unidades_Producidas]</f>
        <v>0.89878542510121462</v>
      </c>
      <c r="Q219" s="3">
        <f>IF(Tabla1[Tipo_Defecto_Principal]="Falla de material", 3, IF(Tabla1[Tipo_Defecto_Principal]="Dimensión fuera de especificación", 2, 1))</f>
        <v>1</v>
      </c>
    </row>
    <row r="220" spans="1:17" x14ac:dyDescent="0.3">
      <c r="A220" s="2">
        <v>45218</v>
      </c>
      <c r="B220" t="s">
        <v>8</v>
      </c>
      <c r="C220" t="s">
        <v>13</v>
      </c>
      <c r="D220">
        <v>231</v>
      </c>
      <c r="E220">
        <v>8</v>
      </c>
      <c r="F220" t="s">
        <v>14</v>
      </c>
      <c r="G220">
        <v>0</v>
      </c>
      <c r="H220" t="s">
        <v>26</v>
      </c>
      <c r="I220">
        <f>(480 - Tabla1[Minutos_Paro]) / 60</f>
        <v>8</v>
      </c>
      <c r="J220" t="str">
        <f>IF(Tabla1[Unidades_Defectuosas] &gt; Tabla1[Unidades_Producidas], "ERROR", "OK")</f>
        <v>OK</v>
      </c>
      <c r="K220" s="1">
        <f>Tabla1[Minutos_Paro] / Tabla1[Unidades_Producidas]</f>
        <v>0</v>
      </c>
      <c r="L220">
        <f>Tabla1[Unidades_Producidas] - Tabla1[Unidades_Defectuosas]</f>
        <v>223</v>
      </c>
      <c r="M220" s="3" t="str">
        <f>IF(Tabla1[Minutos_Paro]=0,"Nula",IF(Tabla1[Minutos_Paro]&lt;30,"Baja",IF(Tabla1[Minutos_Paro]&lt;60,"Media","Alta")))</f>
        <v>Nula</v>
      </c>
      <c r="N220" s="3">
        <f>250</f>
        <v>250</v>
      </c>
      <c r="O220" s="4">
        <f>Tabla1[Unidades_Defectuosas] / Tabla1[Unidades_Producidas]</f>
        <v>3.4632034632034632E-2</v>
      </c>
      <c r="P220" s="4">
        <f>Tabla1[Unidades_Buenas] / Tabla1[Unidades_Producidas]</f>
        <v>0.96536796536796532</v>
      </c>
      <c r="Q220" s="3">
        <f>IF(Tabla1[Tipo_Defecto_Principal]="Falla de material", 3, IF(Tabla1[Tipo_Defecto_Principal]="Dimensión fuera de especificación", 2, 1))</f>
        <v>3</v>
      </c>
    </row>
    <row r="221" spans="1:17" x14ac:dyDescent="0.3">
      <c r="A221" s="2">
        <v>45218</v>
      </c>
      <c r="B221" t="s">
        <v>8</v>
      </c>
      <c r="C221" t="s">
        <v>15</v>
      </c>
      <c r="D221">
        <v>237</v>
      </c>
      <c r="E221">
        <v>10</v>
      </c>
      <c r="F221" t="s">
        <v>10</v>
      </c>
      <c r="G221">
        <v>120</v>
      </c>
      <c r="H221" t="s">
        <v>25</v>
      </c>
      <c r="I221">
        <f>(480 - Tabla1[Minutos_Paro]) / 60</f>
        <v>6</v>
      </c>
      <c r="J221" t="str">
        <f>IF(Tabla1[Unidades_Defectuosas] &gt; Tabla1[Unidades_Producidas], "ERROR", "OK")</f>
        <v>OK</v>
      </c>
      <c r="K221" s="1">
        <f>Tabla1[Minutos_Paro] / Tabla1[Unidades_Producidas]</f>
        <v>0.50632911392405067</v>
      </c>
      <c r="L221">
        <f>Tabla1[Unidades_Producidas] - Tabla1[Unidades_Defectuosas]</f>
        <v>227</v>
      </c>
      <c r="M221" s="3" t="str">
        <f>IF(Tabla1[Minutos_Paro]=0,"Nula",IF(Tabla1[Minutos_Paro]&lt;30,"Baja",IF(Tabla1[Minutos_Paro]&lt;60,"Media","Alta")))</f>
        <v>Alta</v>
      </c>
      <c r="N221" s="3">
        <f>250</f>
        <v>250</v>
      </c>
      <c r="O221" s="4">
        <f>Tabla1[Unidades_Defectuosas] / Tabla1[Unidades_Producidas]</f>
        <v>4.2194092827004218E-2</v>
      </c>
      <c r="P221" s="4">
        <f>Tabla1[Unidades_Buenas] / Tabla1[Unidades_Producidas]</f>
        <v>0.95780590717299574</v>
      </c>
      <c r="Q221" s="3">
        <f>IF(Tabla1[Tipo_Defecto_Principal]="Falla de material", 3, IF(Tabla1[Tipo_Defecto_Principal]="Dimensión fuera de especificación", 2, 1))</f>
        <v>2</v>
      </c>
    </row>
    <row r="222" spans="1:17" x14ac:dyDescent="0.3">
      <c r="A222" s="2">
        <v>45218</v>
      </c>
      <c r="B222" t="s">
        <v>17</v>
      </c>
      <c r="C222" t="s">
        <v>9</v>
      </c>
      <c r="D222">
        <v>187</v>
      </c>
      <c r="E222">
        <v>1</v>
      </c>
      <c r="F222" t="s">
        <v>10</v>
      </c>
      <c r="G222">
        <v>0</v>
      </c>
      <c r="H222" t="s">
        <v>26</v>
      </c>
      <c r="I222">
        <f>(480 - Tabla1[Minutos_Paro]) / 60</f>
        <v>8</v>
      </c>
      <c r="J222" t="str">
        <f>IF(Tabla1[Unidades_Defectuosas] &gt; Tabla1[Unidades_Producidas], "ERROR", "OK")</f>
        <v>OK</v>
      </c>
      <c r="K222" s="1">
        <f>Tabla1[Minutos_Paro] / Tabla1[Unidades_Producidas]</f>
        <v>0</v>
      </c>
      <c r="L222">
        <f>Tabla1[Unidades_Producidas] - Tabla1[Unidades_Defectuosas]</f>
        <v>186</v>
      </c>
      <c r="M222" s="3" t="str">
        <f>IF(Tabla1[Minutos_Paro]=0,"Nula",IF(Tabla1[Minutos_Paro]&lt;30,"Baja",IF(Tabla1[Minutos_Paro]&lt;60,"Media","Alta")))</f>
        <v>Nula</v>
      </c>
      <c r="N222" s="3">
        <f>250</f>
        <v>250</v>
      </c>
      <c r="O222" s="4">
        <f>Tabla1[Unidades_Defectuosas] / Tabla1[Unidades_Producidas]</f>
        <v>5.3475935828877002E-3</v>
      </c>
      <c r="P222" s="4">
        <f>Tabla1[Unidades_Buenas] / Tabla1[Unidades_Producidas]</f>
        <v>0.99465240641711228</v>
      </c>
      <c r="Q222" s="3">
        <f>IF(Tabla1[Tipo_Defecto_Principal]="Falla de material", 3, IF(Tabla1[Tipo_Defecto_Principal]="Dimensión fuera de especificación", 2, 1))</f>
        <v>2</v>
      </c>
    </row>
    <row r="223" spans="1:17" x14ac:dyDescent="0.3">
      <c r="A223" s="2">
        <v>45218</v>
      </c>
      <c r="B223" t="s">
        <v>17</v>
      </c>
      <c r="C223" t="s">
        <v>12</v>
      </c>
      <c r="D223">
        <v>230</v>
      </c>
      <c r="E223">
        <v>10</v>
      </c>
      <c r="F223" t="s">
        <v>10</v>
      </c>
      <c r="G223">
        <v>60</v>
      </c>
      <c r="H223" t="s">
        <v>25</v>
      </c>
      <c r="I223">
        <f>(480 - Tabla1[Minutos_Paro]) / 60</f>
        <v>7</v>
      </c>
      <c r="J223" t="str">
        <f>IF(Tabla1[Unidades_Defectuosas] &gt; Tabla1[Unidades_Producidas], "ERROR", "OK")</f>
        <v>OK</v>
      </c>
      <c r="K223" s="1">
        <f>Tabla1[Minutos_Paro] / Tabla1[Unidades_Producidas]</f>
        <v>0.2608695652173913</v>
      </c>
      <c r="L223">
        <f>Tabla1[Unidades_Producidas] - Tabla1[Unidades_Defectuosas]</f>
        <v>220</v>
      </c>
      <c r="M223" s="3" t="str">
        <f>IF(Tabla1[Minutos_Paro]=0,"Nula",IF(Tabla1[Minutos_Paro]&lt;30,"Baja",IF(Tabla1[Minutos_Paro]&lt;60,"Media","Alta")))</f>
        <v>Alta</v>
      </c>
      <c r="N223" s="3">
        <f>250</f>
        <v>250</v>
      </c>
      <c r="O223" s="4">
        <f>Tabla1[Unidades_Defectuosas] / Tabla1[Unidades_Producidas]</f>
        <v>4.3478260869565216E-2</v>
      </c>
      <c r="P223" s="4">
        <f>Tabla1[Unidades_Buenas] / Tabla1[Unidades_Producidas]</f>
        <v>0.95652173913043481</v>
      </c>
      <c r="Q223" s="3">
        <f>IF(Tabla1[Tipo_Defecto_Principal]="Falla de material", 3, IF(Tabla1[Tipo_Defecto_Principal]="Dimensión fuera de especificación", 2, 1))</f>
        <v>2</v>
      </c>
    </row>
    <row r="224" spans="1:17" x14ac:dyDescent="0.3">
      <c r="A224" s="2">
        <v>45218</v>
      </c>
      <c r="B224" t="s">
        <v>17</v>
      </c>
      <c r="C224" t="s">
        <v>13</v>
      </c>
      <c r="D224">
        <v>237</v>
      </c>
      <c r="E224">
        <v>10</v>
      </c>
      <c r="F224" t="s">
        <v>10</v>
      </c>
      <c r="G224">
        <v>0</v>
      </c>
      <c r="H224" t="s">
        <v>26</v>
      </c>
      <c r="I224">
        <f>(480 - Tabla1[Minutos_Paro]) / 60</f>
        <v>8</v>
      </c>
      <c r="J224" t="str">
        <f>IF(Tabla1[Unidades_Defectuosas] &gt; Tabla1[Unidades_Producidas], "ERROR", "OK")</f>
        <v>OK</v>
      </c>
      <c r="K224" s="1">
        <f>Tabla1[Minutos_Paro] / Tabla1[Unidades_Producidas]</f>
        <v>0</v>
      </c>
      <c r="L224">
        <f>Tabla1[Unidades_Producidas] - Tabla1[Unidades_Defectuosas]</f>
        <v>227</v>
      </c>
      <c r="M224" s="3" t="str">
        <f>IF(Tabla1[Minutos_Paro]=0,"Nula",IF(Tabla1[Minutos_Paro]&lt;30,"Baja",IF(Tabla1[Minutos_Paro]&lt;60,"Media","Alta")))</f>
        <v>Nula</v>
      </c>
      <c r="N224" s="3">
        <f>250</f>
        <v>250</v>
      </c>
      <c r="O224" s="4">
        <f>Tabla1[Unidades_Defectuosas] / Tabla1[Unidades_Producidas]</f>
        <v>4.2194092827004218E-2</v>
      </c>
      <c r="P224" s="4">
        <f>Tabla1[Unidades_Buenas] / Tabla1[Unidades_Producidas]</f>
        <v>0.95780590717299574</v>
      </c>
      <c r="Q224" s="3">
        <f>IF(Tabla1[Tipo_Defecto_Principal]="Falla de material", 3, IF(Tabla1[Tipo_Defecto_Principal]="Dimensión fuera de especificación", 2, 1))</f>
        <v>2</v>
      </c>
    </row>
    <row r="225" spans="1:17" x14ac:dyDescent="0.3">
      <c r="A225" s="2">
        <v>45218</v>
      </c>
      <c r="B225" t="s">
        <v>17</v>
      </c>
      <c r="C225" t="s">
        <v>15</v>
      </c>
      <c r="D225">
        <v>187</v>
      </c>
      <c r="E225">
        <v>5</v>
      </c>
      <c r="F225" t="s">
        <v>20</v>
      </c>
      <c r="G225">
        <v>0</v>
      </c>
      <c r="H225" t="s">
        <v>26</v>
      </c>
      <c r="I225">
        <f>(480 - Tabla1[Minutos_Paro]) / 60</f>
        <v>8</v>
      </c>
      <c r="J225" t="str">
        <f>IF(Tabla1[Unidades_Defectuosas] &gt; Tabla1[Unidades_Producidas], "ERROR", "OK")</f>
        <v>OK</v>
      </c>
      <c r="K225" s="1">
        <f>Tabla1[Minutos_Paro] / Tabla1[Unidades_Producidas]</f>
        <v>0</v>
      </c>
      <c r="L225">
        <f>Tabla1[Unidades_Producidas] - Tabla1[Unidades_Defectuosas]</f>
        <v>182</v>
      </c>
      <c r="M225" s="3" t="str">
        <f>IF(Tabla1[Minutos_Paro]=0,"Nula",IF(Tabla1[Minutos_Paro]&lt;30,"Baja",IF(Tabla1[Minutos_Paro]&lt;60,"Media","Alta")))</f>
        <v>Nula</v>
      </c>
      <c r="N225" s="3">
        <f>250</f>
        <v>250</v>
      </c>
      <c r="O225" s="4">
        <f>Tabla1[Unidades_Defectuosas] / Tabla1[Unidades_Producidas]</f>
        <v>2.6737967914438502E-2</v>
      </c>
      <c r="P225" s="4">
        <f>Tabla1[Unidades_Buenas] / Tabla1[Unidades_Producidas]</f>
        <v>0.9732620320855615</v>
      </c>
      <c r="Q225" s="3">
        <f>IF(Tabla1[Tipo_Defecto_Principal]="Falla de material", 3, IF(Tabla1[Tipo_Defecto_Principal]="Dimensión fuera de especificación", 2, 1))</f>
        <v>1</v>
      </c>
    </row>
    <row r="226" spans="1:17" x14ac:dyDescent="0.3">
      <c r="A226" s="2">
        <v>45218</v>
      </c>
      <c r="B226" t="s">
        <v>19</v>
      </c>
      <c r="C226" t="s">
        <v>9</v>
      </c>
      <c r="D226">
        <v>220</v>
      </c>
      <c r="E226">
        <v>6</v>
      </c>
      <c r="F226" t="s">
        <v>10</v>
      </c>
      <c r="G226">
        <v>0</v>
      </c>
      <c r="H226" t="s">
        <v>26</v>
      </c>
      <c r="I226">
        <f>(480 - Tabla1[Minutos_Paro]) / 60</f>
        <v>8</v>
      </c>
      <c r="J226" t="str">
        <f>IF(Tabla1[Unidades_Defectuosas] &gt; Tabla1[Unidades_Producidas], "ERROR", "OK")</f>
        <v>OK</v>
      </c>
      <c r="K226" s="1">
        <f>Tabla1[Minutos_Paro] / Tabla1[Unidades_Producidas]</f>
        <v>0</v>
      </c>
      <c r="L226">
        <f>Tabla1[Unidades_Producidas] - Tabla1[Unidades_Defectuosas]</f>
        <v>214</v>
      </c>
      <c r="M226" s="3" t="str">
        <f>IF(Tabla1[Minutos_Paro]=0,"Nula",IF(Tabla1[Minutos_Paro]&lt;30,"Baja",IF(Tabla1[Minutos_Paro]&lt;60,"Media","Alta")))</f>
        <v>Nula</v>
      </c>
      <c r="N226" s="3">
        <f>250</f>
        <v>250</v>
      </c>
      <c r="O226" s="4">
        <f>Tabla1[Unidades_Defectuosas] / Tabla1[Unidades_Producidas]</f>
        <v>2.7272727272727271E-2</v>
      </c>
      <c r="P226" s="4">
        <f>Tabla1[Unidades_Buenas] / Tabla1[Unidades_Producidas]</f>
        <v>0.97272727272727277</v>
      </c>
      <c r="Q226" s="3">
        <f>IF(Tabla1[Tipo_Defecto_Principal]="Falla de material", 3, IF(Tabla1[Tipo_Defecto_Principal]="Dimensión fuera de especificación", 2, 1))</f>
        <v>2</v>
      </c>
    </row>
    <row r="227" spans="1:17" x14ac:dyDescent="0.3">
      <c r="A227" s="2">
        <v>45218</v>
      </c>
      <c r="B227" t="s">
        <v>19</v>
      </c>
      <c r="C227" t="s">
        <v>12</v>
      </c>
      <c r="D227">
        <v>211</v>
      </c>
      <c r="E227">
        <v>19</v>
      </c>
      <c r="F227" t="s">
        <v>10</v>
      </c>
      <c r="G227">
        <v>0</v>
      </c>
      <c r="H227" t="s">
        <v>26</v>
      </c>
      <c r="I227">
        <f>(480 - Tabla1[Minutos_Paro]) / 60</f>
        <v>8</v>
      </c>
      <c r="J227" t="str">
        <f>IF(Tabla1[Unidades_Defectuosas] &gt; Tabla1[Unidades_Producidas], "ERROR", "OK")</f>
        <v>OK</v>
      </c>
      <c r="K227" s="1">
        <f>Tabla1[Minutos_Paro] / Tabla1[Unidades_Producidas]</f>
        <v>0</v>
      </c>
      <c r="L227">
        <f>Tabla1[Unidades_Producidas] - Tabla1[Unidades_Defectuosas]</f>
        <v>192</v>
      </c>
      <c r="M227" s="3" t="str">
        <f>IF(Tabla1[Minutos_Paro]=0,"Nula",IF(Tabla1[Minutos_Paro]&lt;30,"Baja",IF(Tabla1[Minutos_Paro]&lt;60,"Media","Alta")))</f>
        <v>Nula</v>
      </c>
      <c r="N227" s="3">
        <f>250</f>
        <v>250</v>
      </c>
      <c r="O227" s="4">
        <f>Tabla1[Unidades_Defectuosas] / Tabla1[Unidades_Producidas]</f>
        <v>9.004739336492891E-2</v>
      </c>
      <c r="P227" s="4">
        <f>Tabla1[Unidades_Buenas] / Tabla1[Unidades_Producidas]</f>
        <v>0.90995260663507105</v>
      </c>
      <c r="Q227" s="3">
        <f>IF(Tabla1[Tipo_Defecto_Principal]="Falla de material", 3, IF(Tabla1[Tipo_Defecto_Principal]="Dimensión fuera de especificación", 2, 1))</f>
        <v>2</v>
      </c>
    </row>
    <row r="228" spans="1:17" x14ac:dyDescent="0.3">
      <c r="A228" s="2">
        <v>45218</v>
      </c>
      <c r="B228" t="s">
        <v>19</v>
      </c>
      <c r="C228" t="s">
        <v>13</v>
      </c>
      <c r="D228">
        <v>219</v>
      </c>
      <c r="E228">
        <v>5</v>
      </c>
      <c r="F228" t="s">
        <v>20</v>
      </c>
      <c r="G228">
        <v>0</v>
      </c>
      <c r="H228" t="s">
        <v>26</v>
      </c>
      <c r="I228">
        <f>(480 - Tabla1[Minutos_Paro]) / 60</f>
        <v>8</v>
      </c>
      <c r="J228" t="str">
        <f>IF(Tabla1[Unidades_Defectuosas] &gt; Tabla1[Unidades_Producidas], "ERROR", "OK")</f>
        <v>OK</v>
      </c>
      <c r="K228" s="1">
        <f>Tabla1[Minutos_Paro] / Tabla1[Unidades_Producidas]</f>
        <v>0</v>
      </c>
      <c r="L228">
        <f>Tabla1[Unidades_Producidas] - Tabla1[Unidades_Defectuosas]</f>
        <v>214</v>
      </c>
      <c r="M228" s="3" t="str">
        <f>IF(Tabla1[Minutos_Paro]=0,"Nula",IF(Tabla1[Minutos_Paro]&lt;30,"Baja",IF(Tabla1[Minutos_Paro]&lt;60,"Media","Alta")))</f>
        <v>Nula</v>
      </c>
      <c r="N228" s="3">
        <f>250</f>
        <v>250</v>
      </c>
      <c r="O228" s="4">
        <f>Tabla1[Unidades_Defectuosas] / Tabla1[Unidades_Producidas]</f>
        <v>2.2831050228310501E-2</v>
      </c>
      <c r="P228" s="4">
        <f>Tabla1[Unidades_Buenas] / Tabla1[Unidades_Producidas]</f>
        <v>0.97716894977168944</v>
      </c>
      <c r="Q228" s="3">
        <f>IF(Tabla1[Tipo_Defecto_Principal]="Falla de material", 3, IF(Tabla1[Tipo_Defecto_Principal]="Dimensión fuera de especificación", 2, 1))</f>
        <v>1</v>
      </c>
    </row>
    <row r="229" spans="1:17" x14ac:dyDescent="0.3">
      <c r="A229" s="2">
        <v>45218</v>
      </c>
      <c r="B229" t="s">
        <v>19</v>
      </c>
      <c r="C229" t="s">
        <v>15</v>
      </c>
      <c r="D229">
        <v>223</v>
      </c>
      <c r="E229">
        <v>12</v>
      </c>
      <c r="F229" t="s">
        <v>16</v>
      </c>
      <c r="G229">
        <v>0</v>
      </c>
      <c r="H229" t="s">
        <v>26</v>
      </c>
      <c r="I229">
        <f>(480 - Tabla1[Minutos_Paro]) / 60</f>
        <v>8</v>
      </c>
      <c r="J229" t="str">
        <f>IF(Tabla1[Unidades_Defectuosas] &gt; Tabla1[Unidades_Producidas], "ERROR", "OK")</f>
        <v>OK</v>
      </c>
      <c r="K229" s="1">
        <f>Tabla1[Minutos_Paro] / Tabla1[Unidades_Producidas]</f>
        <v>0</v>
      </c>
      <c r="L229">
        <f>Tabla1[Unidades_Producidas] - Tabla1[Unidades_Defectuosas]</f>
        <v>211</v>
      </c>
      <c r="M229" s="3" t="str">
        <f>IF(Tabla1[Minutos_Paro]=0,"Nula",IF(Tabla1[Minutos_Paro]&lt;30,"Baja",IF(Tabla1[Minutos_Paro]&lt;60,"Media","Alta")))</f>
        <v>Nula</v>
      </c>
      <c r="N229" s="3">
        <f>250</f>
        <v>250</v>
      </c>
      <c r="O229" s="4">
        <f>Tabla1[Unidades_Defectuosas] / Tabla1[Unidades_Producidas]</f>
        <v>5.3811659192825115E-2</v>
      </c>
      <c r="P229" s="4">
        <f>Tabla1[Unidades_Buenas] / Tabla1[Unidades_Producidas]</f>
        <v>0.94618834080717484</v>
      </c>
      <c r="Q229" s="3">
        <f>IF(Tabla1[Tipo_Defecto_Principal]="Falla de material", 3, IF(Tabla1[Tipo_Defecto_Principal]="Dimensión fuera de especificación", 2, 1))</f>
        <v>1</v>
      </c>
    </row>
    <row r="230" spans="1:17" x14ac:dyDescent="0.3">
      <c r="A230" s="2">
        <v>45219</v>
      </c>
      <c r="B230" t="s">
        <v>8</v>
      </c>
      <c r="C230" t="s">
        <v>9</v>
      </c>
      <c r="D230">
        <v>201</v>
      </c>
      <c r="E230">
        <v>4</v>
      </c>
      <c r="F230" t="s">
        <v>10</v>
      </c>
      <c r="G230">
        <v>0</v>
      </c>
      <c r="H230" t="s">
        <v>26</v>
      </c>
      <c r="I230">
        <f>(480 - Tabla1[Minutos_Paro]) / 60</f>
        <v>8</v>
      </c>
      <c r="J230" t="str">
        <f>IF(Tabla1[Unidades_Defectuosas] &gt; Tabla1[Unidades_Producidas], "ERROR", "OK")</f>
        <v>OK</v>
      </c>
      <c r="K230" s="1">
        <f>Tabla1[Minutos_Paro] / Tabla1[Unidades_Producidas]</f>
        <v>0</v>
      </c>
      <c r="L230">
        <f>Tabla1[Unidades_Producidas] - Tabla1[Unidades_Defectuosas]</f>
        <v>197</v>
      </c>
      <c r="M230" s="3" t="str">
        <f>IF(Tabla1[Minutos_Paro]=0,"Nula",IF(Tabla1[Minutos_Paro]&lt;30,"Baja",IF(Tabla1[Minutos_Paro]&lt;60,"Media","Alta")))</f>
        <v>Nula</v>
      </c>
      <c r="N230" s="3">
        <f>250</f>
        <v>250</v>
      </c>
      <c r="O230" s="4">
        <f>Tabla1[Unidades_Defectuosas] / Tabla1[Unidades_Producidas]</f>
        <v>1.9900497512437811E-2</v>
      </c>
      <c r="P230" s="4">
        <f>Tabla1[Unidades_Buenas] / Tabla1[Unidades_Producidas]</f>
        <v>0.98009950248756217</v>
      </c>
      <c r="Q230" s="3">
        <f>IF(Tabla1[Tipo_Defecto_Principal]="Falla de material", 3, IF(Tabla1[Tipo_Defecto_Principal]="Dimensión fuera de especificación", 2, 1))</f>
        <v>2</v>
      </c>
    </row>
    <row r="231" spans="1:17" x14ac:dyDescent="0.3">
      <c r="A231" s="2">
        <v>45219</v>
      </c>
      <c r="B231" t="s">
        <v>8</v>
      </c>
      <c r="C231" t="s">
        <v>12</v>
      </c>
      <c r="D231">
        <v>206</v>
      </c>
      <c r="E231">
        <v>27</v>
      </c>
      <c r="F231" t="s">
        <v>16</v>
      </c>
      <c r="G231">
        <v>0</v>
      </c>
      <c r="H231" t="s">
        <v>26</v>
      </c>
      <c r="I231">
        <f>(480 - Tabla1[Minutos_Paro]) / 60</f>
        <v>8</v>
      </c>
      <c r="J231" t="str">
        <f>IF(Tabla1[Unidades_Defectuosas] &gt; Tabla1[Unidades_Producidas], "ERROR", "OK")</f>
        <v>OK</v>
      </c>
      <c r="K231" s="1">
        <f>Tabla1[Minutos_Paro] / Tabla1[Unidades_Producidas]</f>
        <v>0</v>
      </c>
      <c r="L231">
        <f>Tabla1[Unidades_Producidas] - Tabla1[Unidades_Defectuosas]</f>
        <v>179</v>
      </c>
      <c r="M231" s="3" t="str">
        <f>IF(Tabla1[Minutos_Paro]=0,"Nula",IF(Tabla1[Minutos_Paro]&lt;30,"Baja",IF(Tabla1[Minutos_Paro]&lt;60,"Media","Alta")))</f>
        <v>Nula</v>
      </c>
      <c r="N231" s="3">
        <f>250</f>
        <v>250</v>
      </c>
      <c r="O231" s="4">
        <f>Tabla1[Unidades_Defectuosas] / Tabla1[Unidades_Producidas]</f>
        <v>0.13106796116504854</v>
      </c>
      <c r="P231" s="4">
        <f>Tabla1[Unidades_Buenas] / Tabla1[Unidades_Producidas]</f>
        <v>0.8689320388349514</v>
      </c>
      <c r="Q231" s="3">
        <f>IF(Tabla1[Tipo_Defecto_Principal]="Falla de material", 3, IF(Tabla1[Tipo_Defecto_Principal]="Dimensión fuera de especificación", 2, 1))</f>
        <v>1</v>
      </c>
    </row>
    <row r="232" spans="1:17" x14ac:dyDescent="0.3">
      <c r="A232" s="2">
        <v>45219</v>
      </c>
      <c r="B232" t="s">
        <v>8</v>
      </c>
      <c r="C232" t="s">
        <v>13</v>
      </c>
      <c r="D232">
        <v>223</v>
      </c>
      <c r="E232">
        <v>10</v>
      </c>
      <c r="F232" t="s">
        <v>18</v>
      </c>
      <c r="G232">
        <v>0</v>
      </c>
      <c r="H232" t="s">
        <v>26</v>
      </c>
      <c r="I232">
        <f>(480 - Tabla1[Minutos_Paro]) / 60</f>
        <v>8</v>
      </c>
      <c r="J232" t="str">
        <f>IF(Tabla1[Unidades_Defectuosas] &gt; Tabla1[Unidades_Producidas], "ERROR", "OK")</f>
        <v>OK</v>
      </c>
      <c r="K232" s="1">
        <f>Tabla1[Minutos_Paro] / Tabla1[Unidades_Producidas]</f>
        <v>0</v>
      </c>
      <c r="L232">
        <f>Tabla1[Unidades_Producidas] - Tabla1[Unidades_Defectuosas]</f>
        <v>213</v>
      </c>
      <c r="M232" s="3" t="str">
        <f>IF(Tabla1[Minutos_Paro]=0,"Nula",IF(Tabla1[Minutos_Paro]&lt;30,"Baja",IF(Tabla1[Minutos_Paro]&lt;60,"Media","Alta")))</f>
        <v>Nula</v>
      </c>
      <c r="N232" s="3">
        <f>250</f>
        <v>250</v>
      </c>
      <c r="O232" s="4">
        <f>Tabla1[Unidades_Defectuosas] / Tabla1[Unidades_Producidas]</f>
        <v>4.4843049327354258E-2</v>
      </c>
      <c r="P232" s="4">
        <f>Tabla1[Unidades_Buenas] / Tabla1[Unidades_Producidas]</f>
        <v>0.95515695067264572</v>
      </c>
      <c r="Q232" s="3">
        <f>IF(Tabla1[Tipo_Defecto_Principal]="Falla de material", 3, IF(Tabla1[Tipo_Defecto_Principal]="Dimensión fuera de especificación", 2, 1))</f>
        <v>1</v>
      </c>
    </row>
    <row r="233" spans="1:17" x14ac:dyDescent="0.3">
      <c r="A233" s="2">
        <v>45219</v>
      </c>
      <c r="B233" t="s">
        <v>8</v>
      </c>
      <c r="C233" t="s">
        <v>15</v>
      </c>
      <c r="D233">
        <v>195</v>
      </c>
      <c r="E233">
        <v>10</v>
      </c>
      <c r="F233" t="s">
        <v>10</v>
      </c>
      <c r="G233">
        <v>0</v>
      </c>
      <c r="H233" t="s">
        <v>26</v>
      </c>
      <c r="I233">
        <f>(480 - Tabla1[Minutos_Paro]) / 60</f>
        <v>8</v>
      </c>
      <c r="J233" t="str">
        <f>IF(Tabla1[Unidades_Defectuosas] &gt; Tabla1[Unidades_Producidas], "ERROR", "OK")</f>
        <v>OK</v>
      </c>
      <c r="K233" s="1">
        <f>Tabla1[Minutos_Paro] / Tabla1[Unidades_Producidas]</f>
        <v>0</v>
      </c>
      <c r="L233">
        <f>Tabla1[Unidades_Producidas] - Tabla1[Unidades_Defectuosas]</f>
        <v>185</v>
      </c>
      <c r="M233" s="3" t="str">
        <f>IF(Tabla1[Minutos_Paro]=0,"Nula",IF(Tabla1[Minutos_Paro]&lt;30,"Baja",IF(Tabla1[Minutos_Paro]&lt;60,"Media","Alta")))</f>
        <v>Nula</v>
      </c>
      <c r="N233" s="3">
        <f>250</f>
        <v>250</v>
      </c>
      <c r="O233" s="4">
        <f>Tabla1[Unidades_Defectuosas] / Tabla1[Unidades_Producidas]</f>
        <v>5.128205128205128E-2</v>
      </c>
      <c r="P233" s="4">
        <f>Tabla1[Unidades_Buenas] / Tabla1[Unidades_Producidas]</f>
        <v>0.94871794871794868</v>
      </c>
      <c r="Q233" s="3">
        <f>IF(Tabla1[Tipo_Defecto_Principal]="Falla de material", 3, IF(Tabla1[Tipo_Defecto_Principal]="Dimensión fuera de especificación", 2, 1))</f>
        <v>2</v>
      </c>
    </row>
    <row r="234" spans="1:17" x14ac:dyDescent="0.3">
      <c r="A234" s="2">
        <v>45219</v>
      </c>
      <c r="B234" t="s">
        <v>17</v>
      </c>
      <c r="C234" t="s">
        <v>9</v>
      </c>
      <c r="D234">
        <v>192</v>
      </c>
      <c r="E234">
        <v>5</v>
      </c>
      <c r="F234" t="s">
        <v>14</v>
      </c>
      <c r="G234">
        <v>0</v>
      </c>
      <c r="H234" t="s">
        <v>26</v>
      </c>
      <c r="I234">
        <f>(480 - Tabla1[Minutos_Paro]) / 60</f>
        <v>8</v>
      </c>
      <c r="J234" t="str">
        <f>IF(Tabla1[Unidades_Defectuosas] &gt; Tabla1[Unidades_Producidas], "ERROR", "OK")</f>
        <v>OK</v>
      </c>
      <c r="K234" s="1">
        <f>Tabla1[Minutos_Paro] / Tabla1[Unidades_Producidas]</f>
        <v>0</v>
      </c>
      <c r="L234">
        <f>Tabla1[Unidades_Producidas] - Tabla1[Unidades_Defectuosas]</f>
        <v>187</v>
      </c>
      <c r="M234" s="3" t="str">
        <f>IF(Tabla1[Minutos_Paro]=0,"Nula",IF(Tabla1[Minutos_Paro]&lt;30,"Baja",IF(Tabla1[Minutos_Paro]&lt;60,"Media","Alta")))</f>
        <v>Nula</v>
      </c>
      <c r="N234" s="3">
        <f>250</f>
        <v>250</v>
      </c>
      <c r="O234" s="4">
        <f>Tabla1[Unidades_Defectuosas] / Tabla1[Unidades_Producidas]</f>
        <v>2.6041666666666668E-2</v>
      </c>
      <c r="P234" s="4">
        <f>Tabla1[Unidades_Buenas] / Tabla1[Unidades_Producidas]</f>
        <v>0.97395833333333337</v>
      </c>
      <c r="Q234" s="3">
        <f>IF(Tabla1[Tipo_Defecto_Principal]="Falla de material", 3, IF(Tabla1[Tipo_Defecto_Principal]="Dimensión fuera de especificación", 2, 1))</f>
        <v>3</v>
      </c>
    </row>
    <row r="235" spans="1:17" x14ac:dyDescent="0.3">
      <c r="A235" s="2">
        <v>45219</v>
      </c>
      <c r="B235" t="s">
        <v>17</v>
      </c>
      <c r="C235" t="s">
        <v>12</v>
      </c>
      <c r="D235">
        <v>232</v>
      </c>
      <c r="E235">
        <v>17</v>
      </c>
      <c r="F235" t="s">
        <v>18</v>
      </c>
      <c r="G235">
        <v>0</v>
      </c>
      <c r="H235" t="s">
        <v>26</v>
      </c>
      <c r="I235">
        <f>(480 - Tabla1[Minutos_Paro]) / 60</f>
        <v>8</v>
      </c>
      <c r="J235" t="str">
        <f>IF(Tabla1[Unidades_Defectuosas] &gt; Tabla1[Unidades_Producidas], "ERROR", "OK")</f>
        <v>OK</v>
      </c>
      <c r="K235" s="1">
        <f>Tabla1[Minutos_Paro] / Tabla1[Unidades_Producidas]</f>
        <v>0</v>
      </c>
      <c r="L235">
        <f>Tabla1[Unidades_Producidas] - Tabla1[Unidades_Defectuosas]</f>
        <v>215</v>
      </c>
      <c r="M235" s="3" t="str">
        <f>IF(Tabla1[Minutos_Paro]=0,"Nula",IF(Tabla1[Minutos_Paro]&lt;30,"Baja",IF(Tabla1[Minutos_Paro]&lt;60,"Media","Alta")))</f>
        <v>Nula</v>
      </c>
      <c r="N235" s="3">
        <f>250</f>
        <v>250</v>
      </c>
      <c r="O235" s="4">
        <f>Tabla1[Unidades_Defectuosas] / Tabla1[Unidades_Producidas]</f>
        <v>7.3275862068965511E-2</v>
      </c>
      <c r="P235" s="4">
        <f>Tabla1[Unidades_Buenas] / Tabla1[Unidades_Producidas]</f>
        <v>0.92672413793103448</v>
      </c>
      <c r="Q235" s="3">
        <f>IF(Tabla1[Tipo_Defecto_Principal]="Falla de material", 3, IF(Tabla1[Tipo_Defecto_Principal]="Dimensión fuera de especificación", 2, 1))</f>
        <v>1</v>
      </c>
    </row>
    <row r="236" spans="1:17" x14ac:dyDescent="0.3">
      <c r="A236" s="2">
        <v>45219</v>
      </c>
      <c r="B236" t="s">
        <v>17</v>
      </c>
      <c r="C236" t="s">
        <v>13</v>
      </c>
      <c r="D236">
        <v>249</v>
      </c>
      <c r="E236">
        <v>10</v>
      </c>
      <c r="F236" t="s">
        <v>14</v>
      </c>
      <c r="G236">
        <v>0</v>
      </c>
      <c r="H236" t="s">
        <v>26</v>
      </c>
      <c r="I236">
        <f>(480 - Tabla1[Minutos_Paro]) / 60</f>
        <v>8</v>
      </c>
      <c r="J236" t="str">
        <f>IF(Tabla1[Unidades_Defectuosas] &gt; Tabla1[Unidades_Producidas], "ERROR", "OK")</f>
        <v>OK</v>
      </c>
      <c r="K236" s="1">
        <f>Tabla1[Minutos_Paro] / Tabla1[Unidades_Producidas]</f>
        <v>0</v>
      </c>
      <c r="L236">
        <f>Tabla1[Unidades_Producidas] - Tabla1[Unidades_Defectuosas]</f>
        <v>239</v>
      </c>
      <c r="M236" s="3" t="str">
        <f>IF(Tabla1[Minutos_Paro]=0,"Nula",IF(Tabla1[Minutos_Paro]&lt;30,"Baja",IF(Tabla1[Minutos_Paro]&lt;60,"Media","Alta")))</f>
        <v>Nula</v>
      </c>
      <c r="N236" s="3">
        <f>250</f>
        <v>250</v>
      </c>
      <c r="O236" s="4">
        <f>Tabla1[Unidades_Defectuosas] / Tabla1[Unidades_Producidas]</f>
        <v>4.0160642570281124E-2</v>
      </c>
      <c r="P236" s="4">
        <f>Tabla1[Unidades_Buenas] / Tabla1[Unidades_Producidas]</f>
        <v>0.95983935742971882</v>
      </c>
      <c r="Q236" s="3">
        <f>IF(Tabla1[Tipo_Defecto_Principal]="Falla de material", 3, IF(Tabla1[Tipo_Defecto_Principal]="Dimensión fuera de especificación", 2, 1))</f>
        <v>3</v>
      </c>
    </row>
    <row r="237" spans="1:17" x14ac:dyDescent="0.3">
      <c r="A237" s="2">
        <v>45219</v>
      </c>
      <c r="B237" t="s">
        <v>17</v>
      </c>
      <c r="C237" t="s">
        <v>15</v>
      </c>
      <c r="D237">
        <v>183</v>
      </c>
      <c r="E237">
        <v>6</v>
      </c>
      <c r="F237" t="s">
        <v>20</v>
      </c>
      <c r="G237">
        <v>0</v>
      </c>
      <c r="H237" t="s">
        <v>26</v>
      </c>
      <c r="I237">
        <f>(480 - Tabla1[Minutos_Paro]) / 60</f>
        <v>8</v>
      </c>
      <c r="J237" t="str">
        <f>IF(Tabla1[Unidades_Defectuosas] &gt; Tabla1[Unidades_Producidas], "ERROR", "OK")</f>
        <v>OK</v>
      </c>
      <c r="K237" s="1">
        <f>Tabla1[Minutos_Paro] / Tabla1[Unidades_Producidas]</f>
        <v>0</v>
      </c>
      <c r="L237">
        <f>Tabla1[Unidades_Producidas] - Tabla1[Unidades_Defectuosas]</f>
        <v>177</v>
      </c>
      <c r="M237" s="3" t="str">
        <f>IF(Tabla1[Minutos_Paro]=0,"Nula",IF(Tabla1[Minutos_Paro]&lt;30,"Baja",IF(Tabla1[Minutos_Paro]&lt;60,"Media","Alta")))</f>
        <v>Nula</v>
      </c>
      <c r="N237" s="3">
        <f>250</f>
        <v>250</v>
      </c>
      <c r="O237" s="4">
        <f>Tabla1[Unidades_Defectuosas] / Tabla1[Unidades_Producidas]</f>
        <v>3.2786885245901641E-2</v>
      </c>
      <c r="P237" s="4">
        <f>Tabla1[Unidades_Buenas] / Tabla1[Unidades_Producidas]</f>
        <v>0.96721311475409832</v>
      </c>
      <c r="Q237" s="3">
        <f>IF(Tabla1[Tipo_Defecto_Principal]="Falla de material", 3, IF(Tabla1[Tipo_Defecto_Principal]="Dimensión fuera de especificación", 2, 1))</f>
        <v>1</v>
      </c>
    </row>
    <row r="238" spans="1:17" x14ac:dyDescent="0.3">
      <c r="A238" s="2">
        <v>45219</v>
      </c>
      <c r="B238" t="s">
        <v>19</v>
      </c>
      <c r="C238" t="s">
        <v>9</v>
      </c>
      <c r="D238">
        <v>183</v>
      </c>
      <c r="E238">
        <v>4</v>
      </c>
      <c r="F238" t="s">
        <v>14</v>
      </c>
      <c r="G238">
        <v>0</v>
      </c>
      <c r="H238" t="s">
        <v>26</v>
      </c>
      <c r="I238">
        <f>(480 - Tabla1[Minutos_Paro]) / 60</f>
        <v>8</v>
      </c>
      <c r="J238" t="str">
        <f>IF(Tabla1[Unidades_Defectuosas] &gt; Tabla1[Unidades_Producidas], "ERROR", "OK")</f>
        <v>OK</v>
      </c>
      <c r="K238" s="1">
        <f>Tabla1[Minutos_Paro] / Tabla1[Unidades_Producidas]</f>
        <v>0</v>
      </c>
      <c r="L238">
        <f>Tabla1[Unidades_Producidas] - Tabla1[Unidades_Defectuosas]</f>
        <v>179</v>
      </c>
      <c r="M238" s="3" t="str">
        <f>IF(Tabla1[Minutos_Paro]=0,"Nula",IF(Tabla1[Minutos_Paro]&lt;30,"Baja",IF(Tabla1[Minutos_Paro]&lt;60,"Media","Alta")))</f>
        <v>Nula</v>
      </c>
      <c r="N238" s="3">
        <f>250</f>
        <v>250</v>
      </c>
      <c r="O238" s="4">
        <f>Tabla1[Unidades_Defectuosas] / Tabla1[Unidades_Producidas]</f>
        <v>2.185792349726776E-2</v>
      </c>
      <c r="P238" s="4">
        <f>Tabla1[Unidades_Buenas] / Tabla1[Unidades_Producidas]</f>
        <v>0.97814207650273222</v>
      </c>
      <c r="Q238" s="3">
        <f>IF(Tabla1[Tipo_Defecto_Principal]="Falla de material", 3, IF(Tabla1[Tipo_Defecto_Principal]="Dimensión fuera de especificación", 2, 1))</f>
        <v>3</v>
      </c>
    </row>
    <row r="239" spans="1:17" x14ac:dyDescent="0.3">
      <c r="A239" s="2">
        <v>45219</v>
      </c>
      <c r="B239" t="s">
        <v>19</v>
      </c>
      <c r="C239" t="s">
        <v>12</v>
      </c>
      <c r="D239">
        <v>242</v>
      </c>
      <c r="E239">
        <v>12</v>
      </c>
      <c r="F239" t="s">
        <v>10</v>
      </c>
      <c r="G239">
        <v>0</v>
      </c>
      <c r="H239" t="s">
        <v>26</v>
      </c>
      <c r="I239">
        <f>(480 - Tabla1[Minutos_Paro]) / 60</f>
        <v>8</v>
      </c>
      <c r="J239" t="str">
        <f>IF(Tabla1[Unidades_Defectuosas] &gt; Tabla1[Unidades_Producidas], "ERROR", "OK")</f>
        <v>OK</v>
      </c>
      <c r="K239" s="1">
        <f>Tabla1[Minutos_Paro] / Tabla1[Unidades_Producidas]</f>
        <v>0</v>
      </c>
      <c r="L239">
        <f>Tabla1[Unidades_Producidas] - Tabla1[Unidades_Defectuosas]</f>
        <v>230</v>
      </c>
      <c r="M239" s="3" t="str">
        <f>IF(Tabla1[Minutos_Paro]=0,"Nula",IF(Tabla1[Minutos_Paro]&lt;30,"Baja",IF(Tabla1[Minutos_Paro]&lt;60,"Media","Alta")))</f>
        <v>Nula</v>
      </c>
      <c r="N239" s="3">
        <f>250</f>
        <v>250</v>
      </c>
      <c r="O239" s="4">
        <f>Tabla1[Unidades_Defectuosas] / Tabla1[Unidades_Producidas]</f>
        <v>4.9586776859504134E-2</v>
      </c>
      <c r="P239" s="4">
        <f>Tabla1[Unidades_Buenas] / Tabla1[Unidades_Producidas]</f>
        <v>0.95041322314049592</v>
      </c>
      <c r="Q239" s="3">
        <f>IF(Tabla1[Tipo_Defecto_Principal]="Falla de material", 3, IF(Tabla1[Tipo_Defecto_Principal]="Dimensión fuera de especificación", 2, 1))</f>
        <v>2</v>
      </c>
    </row>
    <row r="240" spans="1:17" x14ac:dyDescent="0.3">
      <c r="A240" s="2">
        <v>45219</v>
      </c>
      <c r="B240" t="s">
        <v>19</v>
      </c>
      <c r="C240" t="s">
        <v>13</v>
      </c>
      <c r="D240">
        <v>209</v>
      </c>
      <c r="E240">
        <v>7</v>
      </c>
      <c r="F240" t="s">
        <v>18</v>
      </c>
      <c r="G240">
        <v>0</v>
      </c>
      <c r="H240" t="s">
        <v>26</v>
      </c>
      <c r="I240">
        <f>(480 - Tabla1[Minutos_Paro]) / 60</f>
        <v>8</v>
      </c>
      <c r="J240" t="str">
        <f>IF(Tabla1[Unidades_Defectuosas] &gt; Tabla1[Unidades_Producidas], "ERROR", "OK")</f>
        <v>OK</v>
      </c>
      <c r="K240" s="1">
        <f>Tabla1[Minutos_Paro] / Tabla1[Unidades_Producidas]</f>
        <v>0</v>
      </c>
      <c r="L240">
        <f>Tabla1[Unidades_Producidas] - Tabla1[Unidades_Defectuosas]</f>
        <v>202</v>
      </c>
      <c r="M240" s="3" t="str">
        <f>IF(Tabla1[Minutos_Paro]=0,"Nula",IF(Tabla1[Minutos_Paro]&lt;30,"Baja",IF(Tabla1[Minutos_Paro]&lt;60,"Media","Alta")))</f>
        <v>Nula</v>
      </c>
      <c r="N240" s="3">
        <f>250</f>
        <v>250</v>
      </c>
      <c r="O240" s="4">
        <f>Tabla1[Unidades_Defectuosas] / Tabla1[Unidades_Producidas]</f>
        <v>3.3492822966507178E-2</v>
      </c>
      <c r="P240" s="4">
        <f>Tabla1[Unidades_Buenas] / Tabla1[Unidades_Producidas]</f>
        <v>0.96650717703349287</v>
      </c>
      <c r="Q240" s="3">
        <f>IF(Tabla1[Tipo_Defecto_Principal]="Falla de material", 3, IF(Tabla1[Tipo_Defecto_Principal]="Dimensión fuera de especificación", 2, 1))</f>
        <v>1</v>
      </c>
    </row>
    <row r="241" spans="1:17" x14ac:dyDescent="0.3">
      <c r="A241" s="2">
        <v>45219</v>
      </c>
      <c r="B241" t="s">
        <v>19</v>
      </c>
      <c r="C241" t="s">
        <v>15</v>
      </c>
      <c r="D241">
        <v>226</v>
      </c>
      <c r="E241">
        <v>10</v>
      </c>
      <c r="F241" t="s">
        <v>18</v>
      </c>
      <c r="G241">
        <v>0</v>
      </c>
      <c r="H241" t="s">
        <v>26</v>
      </c>
      <c r="I241">
        <f>(480 - Tabla1[Minutos_Paro]) / 60</f>
        <v>8</v>
      </c>
      <c r="J241" t="str">
        <f>IF(Tabla1[Unidades_Defectuosas] &gt; Tabla1[Unidades_Producidas], "ERROR", "OK")</f>
        <v>OK</v>
      </c>
      <c r="K241" s="1">
        <f>Tabla1[Minutos_Paro] / Tabla1[Unidades_Producidas]</f>
        <v>0</v>
      </c>
      <c r="L241">
        <f>Tabla1[Unidades_Producidas] - Tabla1[Unidades_Defectuosas]</f>
        <v>216</v>
      </c>
      <c r="M241" s="3" t="str">
        <f>IF(Tabla1[Minutos_Paro]=0,"Nula",IF(Tabla1[Minutos_Paro]&lt;30,"Baja",IF(Tabla1[Minutos_Paro]&lt;60,"Media","Alta")))</f>
        <v>Nula</v>
      </c>
      <c r="N241" s="3">
        <f>250</f>
        <v>250</v>
      </c>
      <c r="O241" s="4">
        <f>Tabla1[Unidades_Defectuosas] / Tabla1[Unidades_Producidas]</f>
        <v>4.4247787610619468E-2</v>
      </c>
      <c r="P241" s="4">
        <f>Tabla1[Unidades_Buenas] / Tabla1[Unidades_Producidas]</f>
        <v>0.95575221238938057</v>
      </c>
      <c r="Q241" s="3">
        <f>IF(Tabla1[Tipo_Defecto_Principal]="Falla de material", 3, IF(Tabla1[Tipo_Defecto_Principal]="Dimensión fuera de especificación", 2, 1))</f>
        <v>1</v>
      </c>
    </row>
    <row r="242" spans="1:17" x14ac:dyDescent="0.3">
      <c r="A242" s="2">
        <v>45220</v>
      </c>
      <c r="B242" t="s">
        <v>8</v>
      </c>
      <c r="C242" t="s">
        <v>9</v>
      </c>
      <c r="D242">
        <v>240</v>
      </c>
      <c r="E242">
        <v>10</v>
      </c>
      <c r="F242" t="s">
        <v>16</v>
      </c>
      <c r="G242">
        <v>0</v>
      </c>
      <c r="H242" t="s">
        <v>26</v>
      </c>
      <c r="I242">
        <f>(480 - Tabla1[Minutos_Paro]) / 60</f>
        <v>8</v>
      </c>
      <c r="J242" t="str">
        <f>IF(Tabla1[Unidades_Defectuosas] &gt; Tabla1[Unidades_Producidas], "ERROR", "OK")</f>
        <v>OK</v>
      </c>
      <c r="K242" s="1">
        <f>Tabla1[Minutos_Paro] / Tabla1[Unidades_Producidas]</f>
        <v>0</v>
      </c>
      <c r="L242">
        <f>Tabla1[Unidades_Producidas] - Tabla1[Unidades_Defectuosas]</f>
        <v>230</v>
      </c>
      <c r="M242" s="3" t="str">
        <f>IF(Tabla1[Minutos_Paro]=0,"Nula",IF(Tabla1[Minutos_Paro]&lt;30,"Baja",IF(Tabla1[Minutos_Paro]&lt;60,"Media","Alta")))</f>
        <v>Nula</v>
      </c>
      <c r="N242" s="3">
        <f>250</f>
        <v>250</v>
      </c>
      <c r="O242" s="4">
        <f>Tabla1[Unidades_Defectuosas] / Tabla1[Unidades_Producidas]</f>
        <v>4.1666666666666664E-2</v>
      </c>
      <c r="P242" s="4">
        <f>Tabla1[Unidades_Buenas] / Tabla1[Unidades_Producidas]</f>
        <v>0.95833333333333337</v>
      </c>
      <c r="Q242" s="3">
        <f>IF(Tabla1[Tipo_Defecto_Principal]="Falla de material", 3, IF(Tabla1[Tipo_Defecto_Principal]="Dimensión fuera de especificación", 2, 1))</f>
        <v>1</v>
      </c>
    </row>
    <row r="243" spans="1:17" x14ac:dyDescent="0.3">
      <c r="A243" s="2">
        <v>45220</v>
      </c>
      <c r="B243" t="s">
        <v>8</v>
      </c>
      <c r="C243" t="s">
        <v>12</v>
      </c>
      <c r="D243">
        <v>243</v>
      </c>
      <c r="E243">
        <v>15</v>
      </c>
      <c r="F243" t="s">
        <v>18</v>
      </c>
      <c r="G243">
        <v>0</v>
      </c>
      <c r="H243" t="s">
        <v>26</v>
      </c>
      <c r="I243">
        <f>(480 - Tabla1[Minutos_Paro]) / 60</f>
        <v>8</v>
      </c>
      <c r="J243" t="str">
        <f>IF(Tabla1[Unidades_Defectuosas] &gt; Tabla1[Unidades_Producidas], "ERROR", "OK")</f>
        <v>OK</v>
      </c>
      <c r="K243" s="1">
        <f>Tabla1[Minutos_Paro] / Tabla1[Unidades_Producidas]</f>
        <v>0</v>
      </c>
      <c r="L243">
        <f>Tabla1[Unidades_Producidas] - Tabla1[Unidades_Defectuosas]</f>
        <v>228</v>
      </c>
      <c r="M243" s="3" t="str">
        <f>IF(Tabla1[Minutos_Paro]=0,"Nula",IF(Tabla1[Minutos_Paro]&lt;30,"Baja",IF(Tabla1[Minutos_Paro]&lt;60,"Media","Alta")))</f>
        <v>Nula</v>
      </c>
      <c r="N243" s="3">
        <f>250</f>
        <v>250</v>
      </c>
      <c r="O243" s="4">
        <f>Tabla1[Unidades_Defectuosas] / Tabla1[Unidades_Producidas]</f>
        <v>6.1728395061728392E-2</v>
      </c>
      <c r="P243" s="4">
        <f>Tabla1[Unidades_Buenas] / Tabla1[Unidades_Producidas]</f>
        <v>0.93827160493827155</v>
      </c>
      <c r="Q243" s="3">
        <f>IF(Tabla1[Tipo_Defecto_Principal]="Falla de material", 3, IF(Tabla1[Tipo_Defecto_Principal]="Dimensión fuera de especificación", 2, 1))</f>
        <v>1</v>
      </c>
    </row>
    <row r="244" spans="1:17" x14ac:dyDescent="0.3">
      <c r="A244" s="2">
        <v>45220</v>
      </c>
      <c r="B244" t="s">
        <v>8</v>
      </c>
      <c r="C244" t="s">
        <v>13</v>
      </c>
      <c r="D244">
        <v>184</v>
      </c>
      <c r="E244">
        <v>6</v>
      </c>
      <c r="F244" t="s">
        <v>10</v>
      </c>
      <c r="G244">
        <v>0</v>
      </c>
      <c r="H244" t="s">
        <v>26</v>
      </c>
      <c r="I244">
        <f>(480 - Tabla1[Minutos_Paro]) / 60</f>
        <v>8</v>
      </c>
      <c r="J244" t="str">
        <f>IF(Tabla1[Unidades_Defectuosas] &gt; Tabla1[Unidades_Producidas], "ERROR", "OK")</f>
        <v>OK</v>
      </c>
      <c r="K244" s="1">
        <f>Tabla1[Minutos_Paro] / Tabla1[Unidades_Producidas]</f>
        <v>0</v>
      </c>
      <c r="L244">
        <f>Tabla1[Unidades_Producidas] - Tabla1[Unidades_Defectuosas]</f>
        <v>178</v>
      </c>
      <c r="M244" s="3" t="str">
        <f>IF(Tabla1[Minutos_Paro]=0,"Nula",IF(Tabla1[Minutos_Paro]&lt;30,"Baja",IF(Tabla1[Minutos_Paro]&lt;60,"Media","Alta")))</f>
        <v>Nula</v>
      </c>
      <c r="N244" s="3">
        <f>250</f>
        <v>250</v>
      </c>
      <c r="O244" s="4">
        <f>Tabla1[Unidades_Defectuosas] / Tabla1[Unidades_Producidas]</f>
        <v>3.2608695652173912E-2</v>
      </c>
      <c r="P244" s="4">
        <f>Tabla1[Unidades_Buenas] / Tabla1[Unidades_Producidas]</f>
        <v>0.96739130434782605</v>
      </c>
      <c r="Q244" s="3">
        <f>IF(Tabla1[Tipo_Defecto_Principal]="Falla de material", 3, IF(Tabla1[Tipo_Defecto_Principal]="Dimensión fuera de especificación", 2, 1))</f>
        <v>2</v>
      </c>
    </row>
    <row r="245" spans="1:17" x14ac:dyDescent="0.3">
      <c r="A245" s="2">
        <v>45220</v>
      </c>
      <c r="B245" t="s">
        <v>8</v>
      </c>
      <c r="C245" t="s">
        <v>15</v>
      </c>
      <c r="D245">
        <v>225</v>
      </c>
      <c r="E245">
        <v>6</v>
      </c>
      <c r="F245" t="s">
        <v>16</v>
      </c>
      <c r="G245">
        <v>0</v>
      </c>
      <c r="H245" t="s">
        <v>26</v>
      </c>
      <c r="I245">
        <f>(480 - Tabla1[Minutos_Paro]) / 60</f>
        <v>8</v>
      </c>
      <c r="J245" t="str">
        <f>IF(Tabla1[Unidades_Defectuosas] &gt; Tabla1[Unidades_Producidas], "ERROR", "OK")</f>
        <v>OK</v>
      </c>
      <c r="K245" s="1">
        <f>Tabla1[Minutos_Paro] / Tabla1[Unidades_Producidas]</f>
        <v>0</v>
      </c>
      <c r="L245">
        <f>Tabla1[Unidades_Producidas] - Tabla1[Unidades_Defectuosas]</f>
        <v>219</v>
      </c>
      <c r="M245" s="3" t="str">
        <f>IF(Tabla1[Minutos_Paro]=0,"Nula",IF(Tabla1[Minutos_Paro]&lt;30,"Baja",IF(Tabla1[Minutos_Paro]&lt;60,"Media","Alta")))</f>
        <v>Nula</v>
      </c>
      <c r="N245" s="3">
        <f>250</f>
        <v>250</v>
      </c>
      <c r="O245" s="4">
        <f>Tabla1[Unidades_Defectuosas] / Tabla1[Unidades_Producidas]</f>
        <v>2.6666666666666668E-2</v>
      </c>
      <c r="P245" s="4">
        <f>Tabla1[Unidades_Buenas] / Tabla1[Unidades_Producidas]</f>
        <v>0.97333333333333338</v>
      </c>
      <c r="Q245" s="3">
        <f>IF(Tabla1[Tipo_Defecto_Principal]="Falla de material", 3, IF(Tabla1[Tipo_Defecto_Principal]="Dimensión fuera de especificación", 2, 1))</f>
        <v>1</v>
      </c>
    </row>
    <row r="246" spans="1:17" x14ac:dyDescent="0.3">
      <c r="A246" s="2">
        <v>45220</v>
      </c>
      <c r="B246" t="s">
        <v>17</v>
      </c>
      <c r="C246" t="s">
        <v>9</v>
      </c>
      <c r="D246">
        <v>186</v>
      </c>
      <c r="E246">
        <v>7</v>
      </c>
      <c r="F246" t="s">
        <v>14</v>
      </c>
      <c r="G246">
        <v>0</v>
      </c>
      <c r="H246" t="s">
        <v>26</v>
      </c>
      <c r="I246">
        <f>(480 - Tabla1[Minutos_Paro]) / 60</f>
        <v>8</v>
      </c>
      <c r="J246" t="str">
        <f>IF(Tabla1[Unidades_Defectuosas] &gt; Tabla1[Unidades_Producidas], "ERROR", "OK")</f>
        <v>OK</v>
      </c>
      <c r="K246" s="1">
        <f>Tabla1[Minutos_Paro] / Tabla1[Unidades_Producidas]</f>
        <v>0</v>
      </c>
      <c r="L246">
        <f>Tabla1[Unidades_Producidas] - Tabla1[Unidades_Defectuosas]</f>
        <v>179</v>
      </c>
      <c r="M246" s="3" t="str">
        <f>IF(Tabla1[Minutos_Paro]=0,"Nula",IF(Tabla1[Minutos_Paro]&lt;30,"Baja",IF(Tabla1[Minutos_Paro]&lt;60,"Media","Alta")))</f>
        <v>Nula</v>
      </c>
      <c r="N246" s="3">
        <f>250</f>
        <v>250</v>
      </c>
      <c r="O246" s="4">
        <f>Tabla1[Unidades_Defectuosas] / Tabla1[Unidades_Producidas]</f>
        <v>3.7634408602150539E-2</v>
      </c>
      <c r="P246" s="4">
        <f>Tabla1[Unidades_Buenas] / Tabla1[Unidades_Producidas]</f>
        <v>0.9623655913978495</v>
      </c>
      <c r="Q246" s="3">
        <f>IF(Tabla1[Tipo_Defecto_Principal]="Falla de material", 3, IF(Tabla1[Tipo_Defecto_Principal]="Dimensión fuera de especificación", 2, 1))</f>
        <v>3</v>
      </c>
    </row>
    <row r="247" spans="1:17" x14ac:dyDescent="0.3">
      <c r="A247" s="2">
        <v>45220</v>
      </c>
      <c r="B247" t="s">
        <v>17</v>
      </c>
      <c r="C247" t="s">
        <v>12</v>
      </c>
      <c r="D247">
        <v>235</v>
      </c>
      <c r="E247">
        <v>20</v>
      </c>
      <c r="F247" t="s">
        <v>10</v>
      </c>
      <c r="G247">
        <v>0</v>
      </c>
      <c r="H247" t="s">
        <v>26</v>
      </c>
      <c r="I247">
        <f>(480 - Tabla1[Minutos_Paro]) / 60</f>
        <v>8</v>
      </c>
      <c r="J247" t="str">
        <f>IF(Tabla1[Unidades_Defectuosas] &gt; Tabla1[Unidades_Producidas], "ERROR", "OK")</f>
        <v>OK</v>
      </c>
      <c r="K247" s="1">
        <f>Tabla1[Minutos_Paro] / Tabla1[Unidades_Producidas]</f>
        <v>0</v>
      </c>
      <c r="L247">
        <f>Tabla1[Unidades_Producidas] - Tabla1[Unidades_Defectuosas]</f>
        <v>215</v>
      </c>
      <c r="M247" s="3" t="str">
        <f>IF(Tabla1[Minutos_Paro]=0,"Nula",IF(Tabla1[Minutos_Paro]&lt;30,"Baja",IF(Tabla1[Minutos_Paro]&lt;60,"Media","Alta")))</f>
        <v>Nula</v>
      </c>
      <c r="N247" s="3">
        <f>250</f>
        <v>250</v>
      </c>
      <c r="O247" s="4">
        <f>Tabla1[Unidades_Defectuosas] / Tabla1[Unidades_Producidas]</f>
        <v>8.5106382978723402E-2</v>
      </c>
      <c r="P247" s="4">
        <f>Tabla1[Unidades_Buenas] / Tabla1[Unidades_Producidas]</f>
        <v>0.91489361702127658</v>
      </c>
      <c r="Q247" s="3">
        <f>IF(Tabla1[Tipo_Defecto_Principal]="Falla de material", 3, IF(Tabla1[Tipo_Defecto_Principal]="Dimensión fuera de especificación", 2, 1))</f>
        <v>2</v>
      </c>
    </row>
    <row r="248" spans="1:17" x14ac:dyDescent="0.3">
      <c r="A248" s="2">
        <v>45220</v>
      </c>
      <c r="B248" t="s">
        <v>17</v>
      </c>
      <c r="C248" t="s">
        <v>13</v>
      </c>
      <c r="D248">
        <v>186</v>
      </c>
      <c r="E248">
        <v>4</v>
      </c>
      <c r="F248" t="s">
        <v>14</v>
      </c>
      <c r="G248">
        <v>15</v>
      </c>
      <c r="H248" t="s">
        <v>25</v>
      </c>
      <c r="I248">
        <f>(480 - Tabla1[Minutos_Paro]) / 60</f>
        <v>7.75</v>
      </c>
      <c r="J248" t="str">
        <f>IF(Tabla1[Unidades_Defectuosas] &gt; Tabla1[Unidades_Producidas], "ERROR", "OK")</f>
        <v>OK</v>
      </c>
      <c r="K248" s="1">
        <f>Tabla1[Minutos_Paro] / Tabla1[Unidades_Producidas]</f>
        <v>8.0645161290322578E-2</v>
      </c>
      <c r="L248">
        <f>Tabla1[Unidades_Producidas] - Tabla1[Unidades_Defectuosas]</f>
        <v>182</v>
      </c>
      <c r="M248" s="3" t="str">
        <f>IF(Tabla1[Minutos_Paro]=0,"Nula",IF(Tabla1[Minutos_Paro]&lt;30,"Baja",IF(Tabla1[Minutos_Paro]&lt;60,"Media","Alta")))</f>
        <v>Baja</v>
      </c>
      <c r="N248" s="3">
        <f>250</f>
        <v>250</v>
      </c>
      <c r="O248" s="4">
        <f>Tabla1[Unidades_Defectuosas] / Tabla1[Unidades_Producidas]</f>
        <v>2.1505376344086023E-2</v>
      </c>
      <c r="P248" s="4">
        <f>Tabla1[Unidades_Buenas] / Tabla1[Unidades_Producidas]</f>
        <v>0.978494623655914</v>
      </c>
      <c r="Q248" s="3">
        <f>IF(Tabla1[Tipo_Defecto_Principal]="Falla de material", 3, IF(Tabla1[Tipo_Defecto_Principal]="Dimensión fuera de especificación", 2, 1))</f>
        <v>3</v>
      </c>
    </row>
    <row r="249" spans="1:17" x14ac:dyDescent="0.3">
      <c r="A249" s="2">
        <v>45220</v>
      </c>
      <c r="B249" t="s">
        <v>17</v>
      </c>
      <c r="C249" t="s">
        <v>15</v>
      </c>
      <c r="D249">
        <v>221</v>
      </c>
      <c r="E249">
        <v>9</v>
      </c>
      <c r="F249" t="s">
        <v>18</v>
      </c>
      <c r="G249">
        <v>30</v>
      </c>
      <c r="H249" t="s">
        <v>11</v>
      </c>
      <c r="I249">
        <f>(480 - Tabla1[Minutos_Paro]) / 60</f>
        <v>7.5</v>
      </c>
      <c r="J249" t="str">
        <f>IF(Tabla1[Unidades_Defectuosas] &gt; Tabla1[Unidades_Producidas], "ERROR", "OK")</f>
        <v>OK</v>
      </c>
      <c r="K249" s="1">
        <f>Tabla1[Minutos_Paro] / Tabla1[Unidades_Producidas]</f>
        <v>0.13574660633484162</v>
      </c>
      <c r="L249">
        <f>Tabla1[Unidades_Producidas] - Tabla1[Unidades_Defectuosas]</f>
        <v>212</v>
      </c>
      <c r="M249" s="3" t="str">
        <f>IF(Tabla1[Minutos_Paro]=0,"Nula",IF(Tabla1[Minutos_Paro]&lt;30,"Baja",IF(Tabla1[Minutos_Paro]&lt;60,"Media","Alta")))</f>
        <v>Media</v>
      </c>
      <c r="N249" s="3">
        <f>250</f>
        <v>250</v>
      </c>
      <c r="O249" s="4">
        <f>Tabla1[Unidades_Defectuosas] / Tabla1[Unidades_Producidas]</f>
        <v>4.072398190045249E-2</v>
      </c>
      <c r="P249" s="4">
        <f>Tabla1[Unidades_Buenas] / Tabla1[Unidades_Producidas]</f>
        <v>0.95927601809954754</v>
      </c>
      <c r="Q249" s="3">
        <f>IF(Tabla1[Tipo_Defecto_Principal]="Falla de material", 3, IF(Tabla1[Tipo_Defecto_Principal]="Dimensión fuera de especificación", 2, 1))</f>
        <v>1</v>
      </c>
    </row>
    <row r="250" spans="1:17" x14ac:dyDescent="0.3">
      <c r="A250" s="2">
        <v>45220</v>
      </c>
      <c r="B250" t="s">
        <v>19</v>
      </c>
      <c r="C250" t="s">
        <v>9</v>
      </c>
      <c r="D250">
        <v>240</v>
      </c>
      <c r="E250">
        <v>5</v>
      </c>
      <c r="F250" t="s">
        <v>20</v>
      </c>
      <c r="G250">
        <v>0</v>
      </c>
      <c r="H250" t="s">
        <v>26</v>
      </c>
      <c r="I250">
        <f>(480 - Tabla1[Minutos_Paro]) / 60</f>
        <v>8</v>
      </c>
      <c r="J250" t="str">
        <f>IF(Tabla1[Unidades_Defectuosas] &gt; Tabla1[Unidades_Producidas], "ERROR", "OK")</f>
        <v>OK</v>
      </c>
      <c r="K250" s="1">
        <f>Tabla1[Minutos_Paro] / Tabla1[Unidades_Producidas]</f>
        <v>0</v>
      </c>
      <c r="L250">
        <f>Tabla1[Unidades_Producidas] - Tabla1[Unidades_Defectuosas]</f>
        <v>235</v>
      </c>
      <c r="M250" s="3" t="str">
        <f>IF(Tabla1[Minutos_Paro]=0,"Nula",IF(Tabla1[Minutos_Paro]&lt;30,"Baja",IF(Tabla1[Minutos_Paro]&lt;60,"Media","Alta")))</f>
        <v>Nula</v>
      </c>
      <c r="N250" s="3">
        <f>250</f>
        <v>250</v>
      </c>
      <c r="O250" s="4">
        <f>Tabla1[Unidades_Defectuosas] / Tabla1[Unidades_Producidas]</f>
        <v>2.0833333333333332E-2</v>
      </c>
      <c r="P250" s="4">
        <f>Tabla1[Unidades_Buenas] / Tabla1[Unidades_Producidas]</f>
        <v>0.97916666666666663</v>
      </c>
      <c r="Q250" s="3">
        <f>IF(Tabla1[Tipo_Defecto_Principal]="Falla de material", 3, IF(Tabla1[Tipo_Defecto_Principal]="Dimensión fuera de especificación", 2, 1))</f>
        <v>1</v>
      </c>
    </row>
    <row r="251" spans="1:17" x14ac:dyDescent="0.3">
      <c r="A251" s="2">
        <v>45220</v>
      </c>
      <c r="B251" t="s">
        <v>19</v>
      </c>
      <c r="C251" t="s">
        <v>12</v>
      </c>
      <c r="D251">
        <v>240</v>
      </c>
      <c r="E251">
        <v>15</v>
      </c>
      <c r="F251" t="s">
        <v>10</v>
      </c>
      <c r="G251">
        <v>0</v>
      </c>
      <c r="H251" t="s">
        <v>26</v>
      </c>
      <c r="I251">
        <f>(480 - Tabla1[Minutos_Paro]) / 60</f>
        <v>8</v>
      </c>
      <c r="J251" t="str">
        <f>IF(Tabla1[Unidades_Defectuosas] &gt; Tabla1[Unidades_Producidas], "ERROR", "OK")</f>
        <v>OK</v>
      </c>
      <c r="K251" s="1">
        <f>Tabla1[Minutos_Paro] / Tabla1[Unidades_Producidas]</f>
        <v>0</v>
      </c>
      <c r="L251">
        <f>Tabla1[Unidades_Producidas] - Tabla1[Unidades_Defectuosas]</f>
        <v>225</v>
      </c>
      <c r="M251" s="3" t="str">
        <f>IF(Tabla1[Minutos_Paro]=0,"Nula",IF(Tabla1[Minutos_Paro]&lt;30,"Baja",IF(Tabla1[Minutos_Paro]&lt;60,"Media","Alta")))</f>
        <v>Nula</v>
      </c>
      <c r="N251" s="3">
        <f>250</f>
        <v>250</v>
      </c>
      <c r="O251" s="4">
        <f>Tabla1[Unidades_Defectuosas] / Tabla1[Unidades_Producidas]</f>
        <v>6.25E-2</v>
      </c>
      <c r="P251" s="4">
        <f>Tabla1[Unidades_Buenas] / Tabla1[Unidades_Producidas]</f>
        <v>0.9375</v>
      </c>
      <c r="Q251" s="3">
        <f>IF(Tabla1[Tipo_Defecto_Principal]="Falla de material", 3, IF(Tabla1[Tipo_Defecto_Principal]="Dimensión fuera de especificación", 2, 1))</f>
        <v>2</v>
      </c>
    </row>
    <row r="252" spans="1:17" x14ac:dyDescent="0.3">
      <c r="A252" s="2">
        <v>45220</v>
      </c>
      <c r="B252" t="s">
        <v>19</v>
      </c>
      <c r="C252" t="s">
        <v>13</v>
      </c>
      <c r="D252">
        <v>218</v>
      </c>
      <c r="E252">
        <v>5</v>
      </c>
      <c r="F252" t="s">
        <v>20</v>
      </c>
      <c r="G252">
        <v>30</v>
      </c>
      <c r="H252" t="s">
        <v>21</v>
      </c>
      <c r="I252">
        <f>(480 - Tabla1[Minutos_Paro]) / 60</f>
        <v>7.5</v>
      </c>
      <c r="J252" t="str">
        <f>IF(Tabla1[Unidades_Defectuosas] &gt; Tabla1[Unidades_Producidas], "ERROR", "OK")</f>
        <v>OK</v>
      </c>
      <c r="K252" s="1">
        <f>Tabla1[Minutos_Paro] / Tabla1[Unidades_Producidas]</f>
        <v>0.13761467889908258</v>
      </c>
      <c r="L252">
        <f>Tabla1[Unidades_Producidas] - Tabla1[Unidades_Defectuosas]</f>
        <v>213</v>
      </c>
      <c r="M252" s="3" t="str">
        <f>IF(Tabla1[Minutos_Paro]=0,"Nula",IF(Tabla1[Minutos_Paro]&lt;30,"Baja",IF(Tabla1[Minutos_Paro]&lt;60,"Media","Alta")))</f>
        <v>Media</v>
      </c>
      <c r="N252" s="3">
        <f>250</f>
        <v>250</v>
      </c>
      <c r="O252" s="4">
        <f>Tabla1[Unidades_Defectuosas] / Tabla1[Unidades_Producidas]</f>
        <v>2.2935779816513763E-2</v>
      </c>
      <c r="P252" s="4">
        <f>Tabla1[Unidades_Buenas] / Tabla1[Unidades_Producidas]</f>
        <v>0.97706422018348627</v>
      </c>
      <c r="Q252" s="3">
        <f>IF(Tabla1[Tipo_Defecto_Principal]="Falla de material", 3, IF(Tabla1[Tipo_Defecto_Principal]="Dimensión fuera de especificación", 2, 1))</f>
        <v>1</v>
      </c>
    </row>
    <row r="253" spans="1:17" x14ac:dyDescent="0.3">
      <c r="A253" s="2">
        <v>45220</v>
      </c>
      <c r="B253" t="s">
        <v>19</v>
      </c>
      <c r="C253" t="s">
        <v>15</v>
      </c>
      <c r="D253">
        <v>245</v>
      </c>
      <c r="E253">
        <v>7</v>
      </c>
      <c r="F253" t="s">
        <v>10</v>
      </c>
      <c r="G253">
        <v>60</v>
      </c>
      <c r="H253" t="s">
        <v>24</v>
      </c>
      <c r="I253">
        <f>(480 - Tabla1[Minutos_Paro]) / 60</f>
        <v>7</v>
      </c>
      <c r="J253" t="str">
        <f>IF(Tabla1[Unidades_Defectuosas] &gt; Tabla1[Unidades_Producidas], "ERROR", "OK")</f>
        <v>OK</v>
      </c>
      <c r="K253" s="1">
        <f>Tabla1[Minutos_Paro] / Tabla1[Unidades_Producidas]</f>
        <v>0.24489795918367346</v>
      </c>
      <c r="L253">
        <f>Tabla1[Unidades_Producidas] - Tabla1[Unidades_Defectuosas]</f>
        <v>238</v>
      </c>
      <c r="M253" s="3" t="str">
        <f>IF(Tabla1[Minutos_Paro]=0,"Nula",IF(Tabla1[Minutos_Paro]&lt;30,"Baja",IF(Tabla1[Minutos_Paro]&lt;60,"Media","Alta")))</f>
        <v>Alta</v>
      </c>
      <c r="N253" s="3">
        <f>250</f>
        <v>250</v>
      </c>
      <c r="O253" s="4">
        <f>Tabla1[Unidades_Defectuosas] / Tabla1[Unidades_Producidas]</f>
        <v>2.8571428571428571E-2</v>
      </c>
      <c r="P253" s="4">
        <f>Tabla1[Unidades_Buenas] / Tabla1[Unidades_Producidas]</f>
        <v>0.97142857142857142</v>
      </c>
      <c r="Q253" s="3">
        <f>IF(Tabla1[Tipo_Defecto_Principal]="Falla de material", 3, IF(Tabla1[Tipo_Defecto_Principal]="Dimensión fuera de especificación", 2, 1))</f>
        <v>2</v>
      </c>
    </row>
    <row r="254" spans="1:17" x14ac:dyDescent="0.3">
      <c r="A254" s="2">
        <v>45221</v>
      </c>
      <c r="B254" t="s">
        <v>8</v>
      </c>
      <c r="C254" t="s">
        <v>9</v>
      </c>
      <c r="D254">
        <v>242</v>
      </c>
      <c r="E254">
        <v>7</v>
      </c>
      <c r="F254" t="s">
        <v>14</v>
      </c>
      <c r="G254">
        <v>0</v>
      </c>
      <c r="H254" t="s">
        <v>26</v>
      </c>
      <c r="I254">
        <f>(480 - Tabla1[Minutos_Paro]) / 60</f>
        <v>8</v>
      </c>
      <c r="J254" t="str">
        <f>IF(Tabla1[Unidades_Defectuosas] &gt; Tabla1[Unidades_Producidas], "ERROR", "OK")</f>
        <v>OK</v>
      </c>
      <c r="K254" s="1">
        <f>Tabla1[Minutos_Paro] / Tabla1[Unidades_Producidas]</f>
        <v>0</v>
      </c>
      <c r="L254">
        <f>Tabla1[Unidades_Producidas] - Tabla1[Unidades_Defectuosas]</f>
        <v>235</v>
      </c>
      <c r="M254" s="3" t="str">
        <f>IF(Tabla1[Minutos_Paro]=0,"Nula",IF(Tabla1[Minutos_Paro]&lt;30,"Baja",IF(Tabla1[Minutos_Paro]&lt;60,"Media","Alta")))</f>
        <v>Nula</v>
      </c>
      <c r="N254" s="3">
        <f>250</f>
        <v>250</v>
      </c>
      <c r="O254" s="4">
        <f>Tabla1[Unidades_Defectuosas] / Tabla1[Unidades_Producidas]</f>
        <v>2.8925619834710745E-2</v>
      </c>
      <c r="P254" s="4">
        <f>Tabla1[Unidades_Buenas] / Tabla1[Unidades_Producidas]</f>
        <v>0.97107438016528924</v>
      </c>
      <c r="Q254" s="3">
        <f>IF(Tabla1[Tipo_Defecto_Principal]="Falla de material", 3, IF(Tabla1[Tipo_Defecto_Principal]="Dimensión fuera de especificación", 2, 1))</f>
        <v>3</v>
      </c>
    </row>
    <row r="255" spans="1:17" x14ac:dyDescent="0.3">
      <c r="A255" s="2">
        <v>45221</v>
      </c>
      <c r="B255" t="s">
        <v>8</v>
      </c>
      <c r="C255" t="s">
        <v>12</v>
      </c>
      <c r="D255">
        <v>193</v>
      </c>
      <c r="E255">
        <v>12</v>
      </c>
      <c r="F255" t="s">
        <v>10</v>
      </c>
      <c r="G255">
        <v>120</v>
      </c>
      <c r="H255" t="s">
        <v>23</v>
      </c>
      <c r="I255">
        <f>(480 - Tabla1[Minutos_Paro]) / 60</f>
        <v>6</v>
      </c>
      <c r="J255" t="str">
        <f>IF(Tabla1[Unidades_Defectuosas] &gt; Tabla1[Unidades_Producidas], "ERROR", "OK")</f>
        <v>OK</v>
      </c>
      <c r="K255" s="1">
        <f>Tabla1[Minutos_Paro] / Tabla1[Unidades_Producidas]</f>
        <v>0.62176165803108807</v>
      </c>
      <c r="L255">
        <f>Tabla1[Unidades_Producidas] - Tabla1[Unidades_Defectuosas]</f>
        <v>181</v>
      </c>
      <c r="M255" s="3" t="str">
        <f>IF(Tabla1[Minutos_Paro]=0,"Nula",IF(Tabla1[Minutos_Paro]&lt;30,"Baja",IF(Tabla1[Minutos_Paro]&lt;60,"Media","Alta")))</f>
        <v>Alta</v>
      </c>
      <c r="N255" s="3">
        <f>250</f>
        <v>250</v>
      </c>
      <c r="O255" s="4">
        <f>Tabla1[Unidades_Defectuosas] / Tabla1[Unidades_Producidas]</f>
        <v>6.2176165803108807E-2</v>
      </c>
      <c r="P255" s="4">
        <f>Tabla1[Unidades_Buenas] / Tabla1[Unidades_Producidas]</f>
        <v>0.93782383419689119</v>
      </c>
      <c r="Q255" s="3">
        <f>IF(Tabla1[Tipo_Defecto_Principal]="Falla de material", 3, IF(Tabla1[Tipo_Defecto_Principal]="Dimensión fuera de especificación", 2, 1))</f>
        <v>2</v>
      </c>
    </row>
    <row r="256" spans="1:17" x14ac:dyDescent="0.3">
      <c r="A256" s="2">
        <v>45221</v>
      </c>
      <c r="B256" t="s">
        <v>8</v>
      </c>
      <c r="C256" t="s">
        <v>13</v>
      </c>
      <c r="D256">
        <v>242</v>
      </c>
      <c r="E256">
        <v>6</v>
      </c>
      <c r="F256" t="s">
        <v>14</v>
      </c>
      <c r="G256">
        <v>0</v>
      </c>
      <c r="H256" t="s">
        <v>26</v>
      </c>
      <c r="I256">
        <f>(480 - Tabla1[Minutos_Paro]) / 60</f>
        <v>8</v>
      </c>
      <c r="J256" t="str">
        <f>IF(Tabla1[Unidades_Defectuosas] &gt; Tabla1[Unidades_Producidas], "ERROR", "OK")</f>
        <v>OK</v>
      </c>
      <c r="K256" s="1">
        <f>Tabla1[Minutos_Paro] / Tabla1[Unidades_Producidas]</f>
        <v>0</v>
      </c>
      <c r="L256">
        <f>Tabla1[Unidades_Producidas] - Tabla1[Unidades_Defectuosas]</f>
        <v>236</v>
      </c>
      <c r="M256" s="3" t="str">
        <f>IF(Tabla1[Minutos_Paro]=0,"Nula",IF(Tabla1[Minutos_Paro]&lt;30,"Baja",IF(Tabla1[Minutos_Paro]&lt;60,"Media","Alta")))</f>
        <v>Nula</v>
      </c>
      <c r="N256" s="3">
        <f>250</f>
        <v>250</v>
      </c>
      <c r="O256" s="4">
        <f>Tabla1[Unidades_Defectuosas] / Tabla1[Unidades_Producidas]</f>
        <v>2.4793388429752067E-2</v>
      </c>
      <c r="P256" s="4">
        <f>Tabla1[Unidades_Buenas] / Tabla1[Unidades_Producidas]</f>
        <v>0.97520661157024791</v>
      </c>
      <c r="Q256" s="3">
        <f>IF(Tabla1[Tipo_Defecto_Principal]="Falla de material", 3, IF(Tabla1[Tipo_Defecto_Principal]="Dimensión fuera de especificación", 2, 1))</f>
        <v>3</v>
      </c>
    </row>
    <row r="257" spans="1:17" x14ac:dyDescent="0.3">
      <c r="A257" s="2">
        <v>45221</v>
      </c>
      <c r="B257" t="s">
        <v>8</v>
      </c>
      <c r="C257" t="s">
        <v>15</v>
      </c>
      <c r="D257">
        <v>229</v>
      </c>
      <c r="E257">
        <v>4</v>
      </c>
      <c r="F257" t="s">
        <v>18</v>
      </c>
      <c r="G257">
        <v>0</v>
      </c>
      <c r="H257" t="s">
        <v>26</v>
      </c>
      <c r="I257">
        <f>(480 - Tabla1[Minutos_Paro]) / 60</f>
        <v>8</v>
      </c>
      <c r="J257" t="str">
        <f>IF(Tabla1[Unidades_Defectuosas] &gt; Tabla1[Unidades_Producidas], "ERROR", "OK")</f>
        <v>OK</v>
      </c>
      <c r="K257" s="1">
        <f>Tabla1[Minutos_Paro] / Tabla1[Unidades_Producidas]</f>
        <v>0</v>
      </c>
      <c r="L257">
        <f>Tabla1[Unidades_Producidas] - Tabla1[Unidades_Defectuosas]</f>
        <v>225</v>
      </c>
      <c r="M257" s="3" t="str">
        <f>IF(Tabla1[Minutos_Paro]=0,"Nula",IF(Tabla1[Minutos_Paro]&lt;30,"Baja",IF(Tabla1[Minutos_Paro]&lt;60,"Media","Alta")))</f>
        <v>Nula</v>
      </c>
      <c r="N257" s="3">
        <f>250</f>
        <v>250</v>
      </c>
      <c r="O257" s="4">
        <f>Tabla1[Unidades_Defectuosas] / Tabla1[Unidades_Producidas]</f>
        <v>1.7467248908296942E-2</v>
      </c>
      <c r="P257" s="4">
        <f>Tabla1[Unidades_Buenas] / Tabla1[Unidades_Producidas]</f>
        <v>0.98253275109170302</v>
      </c>
      <c r="Q257" s="3">
        <f>IF(Tabla1[Tipo_Defecto_Principal]="Falla de material", 3, IF(Tabla1[Tipo_Defecto_Principal]="Dimensión fuera de especificación", 2, 1))</f>
        <v>1</v>
      </c>
    </row>
    <row r="258" spans="1:17" x14ac:dyDescent="0.3">
      <c r="A258" s="2">
        <v>45221</v>
      </c>
      <c r="B258" t="s">
        <v>17</v>
      </c>
      <c r="C258" t="s">
        <v>9</v>
      </c>
      <c r="D258">
        <v>220</v>
      </c>
      <c r="E258">
        <v>10</v>
      </c>
      <c r="F258" t="s">
        <v>10</v>
      </c>
      <c r="G258">
        <v>30</v>
      </c>
      <c r="H258" t="s">
        <v>23</v>
      </c>
      <c r="I258">
        <f>(480 - Tabla1[Minutos_Paro]) / 60</f>
        <v>7.5</v>
      </c>
      <c r="J258" t="str">
        <f>IF(Tabla1[Unidades_Defectuosas] &gt; Tabla1[Unidades_Producidas], "ERROR", "OK")</f>
        <v>OK</v>
      </c>
      <c r="K258" s="1">
        <f>Tabla1[Minutos_Paro] / Tabla1[Unidades_Producidas]</f>
        <v>0.13636363636363635</v>
      </c>
      <c r="L258">
        <f>Tabla1[Unidades_Producidas] - Tabla1[Unidades_Defectuosas]</f>
        <v>210</v>
      </c>
      <c r="M258" s="3" t="str">
        <f>IF(Tabla1[Minutos_Paro]=0,"Nula",IF(Tabla1[Minutos_Paro]&lt;30,"Baja",IF(Tabla1[Minutos_Paro]&lt;60,"Media","Alta")))</f>
        <v>Media</v>
      </c>
      <c r="N258" s="3">
        <f>250</f>
        <v>250</v>
      </c>
      <c r="O258" s="4">
        <f>Tabla1[Unidades_Defectuosas] / Tabla1[Unidades_Producidas]</f>
        <v>4.5454545454545456E-2</v>
      </c>
      <c r="P258" s="4">
        <f>Tabla1[Unidades_Buenas] / Tabla1[Unidades_Producidas]</f>
        <v>0.95454545454545459</v>
      </c>
      <c r="Q258" s="3">
        <f>IF(Tabla1[Tipo_Defecto_Principal]="Falla de material", 3, IF(Tabla1[Tipo_Defecto_Principal]="Dimensión fuera de especificación", 2, 1))</f>
        <v>2</v>
      </c>
    </row>
    <row r="259" spans="1:17" x14ac:dyDescent="0.3">
      <c r="A259" s="2">
        <v>45221</v>
      </c>
      <c r="B259" t="s">
        <v>17</v>
      </c>
      <c r="C259" t="s">
        <v>12</v>
      </c>
      <c r="D259">
        <v>219</v>
      </c>
      <c r="E259">
        <v>18</v>
      </c>
      <c r="F259" t="s">
        <v>20</v>
      </c>
      <c r="G259">
        <v>0</v>
      </c>
      <c r="H259" t="s">
        <v>26</v>
      </c>
      <c r="I259">
        <f>(480 - Tabla1[Minutos_Paro]) / 60</f>
        <v>8</v>
      </c>
      <c r="J259" t="str">
        <f>IF(Tabla1[Unidades_Defectuosas] &gt; Tabla1[Unidades_Producidas], "ERROR", "OK")</f>
        <v>OK</v>
      </c>
      <c r="K259" s="1">
        <f>Tabla1[Minutos_Paro] / Tabla1[Unidades_Producidas]</f>
        <v>0</v>
      </c>
      <c r="L259">
        <f>Tabla1[Unidades_Producidas] - Tabla1[Unidades_Defectuosas]</f>
        <v>201</v>
      </c>
      <c r="M259" s="3" t="str">
        <f>IF(Tabla1[Minutos_Paro]=0,"Nula",IF(Tabla1[Minutos_Paro]&lt;30,"Baja",IF(Tabla1[Minutos_Paro]&lt;60,"Media","Alta")))</f>
        <v>Nula</v>
      </c>
      <c r="N259" s="3">
        <f>250</f>
        <v>250</v>
      </c>
      <c r="O259" s="4">
        <f>Tabla1[Unidades_Defectuosas] / Tabla1[Unidades_Producidas]</f>
        <v>8.2191780821917804E-2</v>
      </c>
      <c r="P259" s="4">
        <f>Tabla1[Unidades_Buenas] / Tabla1[Unidades_Producidas]</f>
        <v>0.9178082191780822</v>
      </c>
      <c r="Q259" s="3">
        <f>IF(Tabla1[Tipo_Defecto_Principal]="Falla de material", 3, IF(Tabla1[Tipo_Defecto_Principal]="Dimensión fuera de especificación", 2, 1))</f>
        <v>1</v>
      </c>
    </row>
    <row r="260" spans="1:17" x14ac:dyDescent="0.3">
      <c r="A260" s="2">
        <v>45221</v>
      </c>
      <c r="B260" t="s">
        <v>17</v>
      </c>
      <c r="C260" t="s">
        <v>13</v>
      </c>
      <c r="D260">
        <v>187</v>
      </c>
      <c r="E260">
        <v>5</v>
      </c>
      <c r="F260" t="s">
        <v>18</v>
      </c>
      <c r="G260">
        <v>15</v>
      </c>
      <c r="H260" t="s">
        <v>11</v>
      </c>
      <c r="I260">
        <f>(480 - Tabla1[Minutos_Paro]) / 60</f>
        <v>7.75</v>
      </c>
      <c r="J260" t="str">
        <f>IF(Tabla1[Unidades_Defectuosas] &gt; Tabla1[Unidades_Producidas], "ERROR", "OK")</f>
        <v>OK</v>
      </c>
      <c r="K260" s="1">
        <f>Tabla1[Minutos_Paro] / Tabla1[Unidades_Producidas]</f>
        <v>8.0213903743315509E-2</v>
      </c>
      <c r="L260">
        <f>Tabla1[Unidades_Producidas] - Tabla1[Unidades_Defectuosas]</f>
        <v>182</v>
      </c>
      <c r="M260" s="3" t="str">
        <f>IF(Tabla1[Minutos_Paro]=0,"Nula",IF(Tabla1[Minutos_Paro]&lt;30,"Baja",IF(Tabla1[Minutos_Paro]&lt;60,"Media","Alta")))</f>
        <v>Baja</v>
      </c>
      <c r="N260" s="3">
        <f>250</f>
        <v>250</v>
      </c>
      <c r="O260" s="4">
        <f>Tabla1[Unidades_Defectuosas] / Tabla1[Unidades_Producidas]</f>
        <v>2.6737967914438502E-2</v>
      </c>
      <c r="P260" s="4">
        <f>Tabla1[Unidades_Buenas] / Tabla1[Unidades_Producidas]</f>
        <v>0.9732620320855615</v>
      </c>
      <c r="Q260" s="3">
        <f>IF(Tabla1[Tipo_Defecto_Principal]="Falla de material", 3, IF(Tabla1[Tipo_Defecto_Principal]="Dimensión fuera de especificación", 2, 1))</f>
        <v>1</v>
      </c>
    </row>
    <row r="261" spans="1:17" x14ac:dyDescent="0.3">
      <c r="A261" s="2">
        <v>45221</v>
      </c>
      <c r="B261" t="s">
        <v>17</v>
      </c>
      <c r="C261" t="s">
        <v>15</v>
      </c>
      <c r="D261">
        <v>190</v>
      </c>
      <c r="E261">
        <v>9</v>
      </c>
      <c r="F261" t="s">
        <v>10</v>
      </c>
      <c r="G261">
        <v>0</v>
      </c>
      <c r="H261" t="s">
        <v>26</v>
      </c>
      <c r="I261">
        <f>(480 - Tabla1[Minutos_Paro]) / 60</f>
        <v>8</v>
      </c>
      <c r="J261" t="str">
        <f>IF(Tabla1[Unidades_Defectuosas] &gt; Tabla1[Unidades_Producidas], "ERROR", "OK")</f>
        <v>OK</v>
      </c>
      <c r="K261" s="1">
        <f>Tabla1[Minutos_Paro] / Tabla1[Unidades_Producidas]</f>
        <v>0</v>
      </c>
      <c r="L261">
        <f>Tabla1[Unidades_Producidas] - Tabla1[Unidades_Defectuosas]</f>
        <v>181</v>
      </c>
      <c r="M261" s="3" t="str">
        <f>IF(Tabla1[Minutos_Paro]=0,"Nula",IF(Tabla1[Minutos_Paro]&lt;30,"Baja",IF(Tabla1[Minutos_Paro]&lt;60,"Media","Alta")))</f>
        <v>Nula</v>
      </c>
      <c r="N261" s="3">
        <f>250</f>
        <v>250</v>
      </c>
      <c r="O261" s="4">
        <f>Tabla1[Unidades_Defectuosas] / Tabla1[Unidades_Producidas]</f>
        <v>4.736842105263158E-2</v>
      </c>
      <c r="P261" s="4">
        <f>Tabla1[Unidades_Buenas] / Tabla1[Unidades_Producidas]</f>
        <v>0.95263157894736838</v>
      </c>
      <c r="Q261" s="3">
        <f>IF(Tabla1[Tipo_Defecto_Principal]="Falla de material", 3, IF(Tabla1[Tipo_Defecto_Principal]="Dimensión fuera de especificación", 2, 1))</f>
        <v>2</v>
      </c>
    </row>
    <row r="262" spans="1:17" x14ac:dyDescent="0.3">
      <c r="A262" s="2">
        <v>45221</v>
      </c>
      <c r="B262" t="s">
        <v>19</v>
      </c>
      <c r="C262" t="s">
        <v>9</v>
      </c>
      <c r="D262">
        <v>204</v>
      </c>
      <c r="E262">
        <v>3</v>
      </c>
      <c r="F262" t="s">
        <v>14</v>
      </c>
      <c r="G262">
        <v>0</v>
      </c>
      <c r="H262" t="s">
        <v>26</v>
      </c>
      <c r="I262">
        <f>(480 - Tabla1[Minutos_Paro]) / 60</f>
        <v>8</v>
      </c>
      <c r="J262" t="str">
        <f>IF(Tabla1[Unidades_Defectuosas] &gt; Tabla1[Unidades_Producidas], "ERROR", "OK")</f>
        <v>OK</v>
      </c>
      <c r="K262" s="1">
        <f>Tabla1[Minutos_Paro] / Tabla1[Unidades_Producidas]</f>
        <v>0</v>
      </c>
      <c r="L262">
        <f>Tabla1[Unidades_Producidas] - Tabla1[Unidades_Defectuosas]</f>
        <v>201</v>
      </c>
      <c r="M262" s="3" t="str">
        <f>IF(Tabla1[Minutos_Paro]=0,"Nula",IF(Tabla1[Minutos_Paro]&lt;30,"Baja",IF(Tabla1[Minutos_Paro]&lt;60,"Media","Alta")))</f>
        <v>Nula</v>
      </c>
      <c r="N262" s="3">
        <f>250</f>
        <v>250</v>
      </c>
      <c r="O262" s="4">
        <f>Tabla1[Unidades_Defectuosas] / Tabla1[Unidades_Producidas]</f>
        <v>1.4705882352941176E-2</v>
      </c>
      <c r="P262" s="4">
        <f>Tabla1[Unidades_Buenas] / Tabla1[Unidades_Producidas]</f>
        <v>0.98529411764705888</v>
      </c>
      <c r="Q262" s="3">
        <f>IF(Tabla1[Tipo_Defecto_Principal]="Falla de material", 3, IF(Tabla1[Tipo_Defecto_Principal]="Dimensión fuera de especificación", 2, 1))</f>
        <v>3</v>
      </c>
    </row>
    <row r="263" spans="1:17" x14ac:dyDescent="0.3">
      <c r="A263" s="2">
        <v>45221</v>
      </c>
      <c r="B263" t="s">
        <v>19</v>
      </c>
      <c r="C263" t="s">
        <v>12</v>
      </c>
      <c r="D263">
        <v>240</v>
      </c>
      <c r="E263">
        <v>17</v>
      </c>
      <c r="F263" t="s">
        <v>10</v>
      </c>
      <c r="G263">
        <v>30</v>
      </c>
      <c r="H263" t="s">
        <v>24</v>
      </c>
      <c r="I263">
        <f>(480 - Tabla1[Minutos_Paro]) / 60</f>
        <v>7.5</v>
      </c>
      <c r="J263" t="str">
        <f>IF(Tabla1[Unidades_Defectuosas] &gt; Tabla1[Unidades_Producidas], "ERROR", "OK")</f>
        <v>OK</v>
      </c>
      <c r="K263" s="1">
        <f>Tabla1[Minutos_Paro] / Tabla1[Unidades_Producidas]</f>
        <v>0.125</v>
      </c>
      <c r="L263">
        <f>Tabla1[Unidades_Producidas] - Tabla1[Unidades_Defectuosas]</f>
        <v>223</v>
      </c>
      <c r="M263" s="3" t="str">
        <f>IF(Tabla1[Minutos_Paro]=0,"Nula",IF(Tabla1[Minutos_Paro]&lt;30,"Baja",IF(Tabla1[Minutos_Paro]&lt;60,"Media","Alta")))</f>
        <v>Media</v>
      </c>
      <c r="N263" s="3">
        <f>250</f>
        <v>250</v>
      </c>
      <c r="O263" s="4">
        <f>Tabla1[Unidades_Defectuosas] / Tabla1[Unidades_Producidas]</f>
        <v>7.0833333333333331E-2</v>
      </c>
      <c r="P263" s="4">
        <f>Tabla1[Unidades_Buenas] / Tabla1[Unidades_Producidas]</f>
        <v>0.9291666666666667</v>
      </c>
      <c r="Q263" s="3">
        <f>IF(Tabla1[Tipo_Defecto_Principal]="Falla de material", 3, IF(Tabla1[Tipo_Defecto_Principal]="Dimensión fuera de especificación", 2, 1))</f>
        <v>2</v>
      </c>
    </row>
    <row r="264" spans="1:17" x14ac:dyDescent="0.3">
      <c r="A264" s="2">
        <v>45221</v>
      </c>
      <c r="B264" t="s">
        <v>19</v>
      </c>
      <c r="C264" t="s">
        <v>13</v>
      </c>
      <c r="D264">
        <v>239</v>
      </c>
      <c r="E264">
        <v>8</v>
      </c>
      <c r="F264" t="s">
        <v>14</v>
      </c>
      <c r="G264">
        <v>0</v>
      </c>
      <c r="H264" t="s">
        <v>26</v>
      </c>
      <c r="I264">
        <f>(480 - Tabla1[Minutos_Paro]) / 60</f>
        <v>8</v>
      </c>
      <c r="J264" t="str">
        <f>IF(Tabla1[Unidades_Defectuosas] &gt; Tabla1[Unidades_Producidas], "ERROR", "OK")</f>
        <v>OK</v>
      </c>
      <c r="K264" s="1">
        <f>Tabla1[Minutos_Paro] / Tabla1[Unidades_Producidas]</f>
        <v>0</v>
      </c>
      <c r="L264">
        <f>Tabla1[Unidades_Producidas] - Tabla1[Unidades_Defectuosas]</f>
        <v>231</v>
      </c>
      <c r="M264" s="3" t="str">
        <f>IF(Tabla1[Minutos_Paro]=0,"Nula",IF(Tabla1[Minutos_Paro]&lt;30,"Baja",IF(Tabla1[Minutos_Paro]&lt;60,"Media","Alta")))</f>
        <v>Nula</v>
      </c>
      <c r="N264" s="3">
        <f>250</f>
        <v>250</v>
      </c>
      <c r="O264" s="4">
        <f>Tabla1[Unidades_Defectuosas] / Tabla1[Unidades_Producidas]</f>
        <v>3.3472803347280332E-2</v>
      </c>
      <c r="P264" s="4">
        <f>Tabla1[Unidades_Buenas] / Tabla1[Unidades_Producidas]</f>
        <v>0.96652719665271969</v>
      </c>
      <c r="Q264" s="3">
        <f>IF(Tabla1[Tipo_Defecto_Principal]="Falla de material", 3, IF(Tabla1[Tipo_Defecto_Principal]="Dimensión fuera de especificación", 2, 1))</f>
        <v>3</v>
      </c>
    </row>
    <row r="265" spans="1:17" x14ac:dyDescent="0.3">
      <c r="A265" s="2">
        <v>45221</v>
      </c>
      <c r="B265" t="s">
        <v>19</v>
      </c>
      <c r="C265" t="s">
        <v>15</v>
      </c>
      <c r="D265">
        <v>241</v>
      </c>
      <c r="E265">
        <v>12</v>
      </c>
      <c r="F265" t="s">
        <v>18</v>
      </c>
      <c r="G265">
        <v>0</v>
      </c>
      <c r="H265" t="s">
        <v>26</v>
      </c>
      <c r="I265">
        <f>(480 - Tabla1[Minutos_Paro]) / 60</f>
        <v>8</v>
      </c>
      <c r="J265" t="str">
        <f>IF(Tabla1[Unidades_Defectuosas] &gt; Tabla1[Unidades_Producidas], "ERROR", "OK")</f>
        <v>OK</v>
      </c>
      <c r="K265" s="1">
        <f>Tabla1[Minutos_Paro] / Tabla1[Unidades_Producidas]</f>
        <v>0</v>
      </c>
      <c r="L265">
        <f>Tabla1[Unidades_Producidas] - Tabla1[Unidades_Defectuosas]</f>
        <v>229</v>
      </c>
      <c r="M265" s="3" t="str">
        <f>IF(Tabla1[Minutos_Paro]=0,"Nula",IF(Tabla1[Minutos_Paro]&lt;30,"Baja",IF(Tabla1[Minutos_Paro]&lt;60,"Media","Alta")))</f>
        <v>Nula</v>
      </c>
      <c r="N265" s="3">
        <f>250</f>
        <v>250</v>
      </c>
      <c r="O265" s="4">
        <f>Tabla1[Unidades_Defectuosas] / Tabla1[Unidades_Producidas]</f>
        <v>4.9792531120331947E-2</v>
      </c>
      <c r="P265" s="4">
        <f>Tabla1[Unidades_Buenas] / Tabla1[Unidades_Producidas]</f>
        <v>0.950207468879668</v>
      </c>
      <c r="Q265" s="3">
        <f>IF(Tabla1[Tipo_Defecto_Principal]="Falla de material", 3, IF(Tabla1[Tipo_Defecto_Principal]="Dimensión fuera de especificación", 2, 1))</f>
        <v>1</v>
      </c>
    </row>
    <row r="266" spans="1:17" x14ac:dyDescent="0.3">
      <c r="A266" s="2">
        <v>45222</v>
      </c>
      <c r="B266" t="s">
        <v>8</v>
      </c>
      <c r="C266" t="s">
        <v>9</v>
      </c>
      <c r="D266">
        <v>213</v>
      </c>
      <c r="E266">
        <v>5</v>
      </c>
      <c r="F266" t="s">
        <v>18</v>
      </c>
      <c r="G266">
        <v>15</v>
      </c>
      <c r="H266" t="s">
        <v>24</v>
      </c>
      <c r="I266">
        <f>(480 - Tabla1[Minutos_Paro]) / 60</f>
        <v>7.75</v>
      </c>
      <c r="J266" t="str">
        <f>IF(Tabla1[Unidades_Defectuosas] &gt; Tabla1[Unidades_Producidas], "ERROR", "OK")</f>
        <v>OK</v>
      </c>
      <c r="K266" s="1">
        <f>Tabla1[Minutos_Paro] / Tabla1[Unidades_Producidas]</f>
        <v>7.0422535211267609E-2</v>
      </c>
      <c r="L266">
        <f>Tabla1[Unidades_Producidas] - Tabla1[Unidades_Defectuosas]</f>
        <v>208</v>
      </c>
      <c r="M266" s="3" t="str">
        <f>IF(Tabla1[Minutos_Paro]=0,"Nula",IF(Tabla1[Minutos_Paro]&lt;30,"Baja",IF(Tabla1[Minutos_Paro]&lt;60,"Media","Alta")))</f>
        <v>Baja</v>
      </c>
      <c r="N266" s="3">
        <f>250</f>
        <v>250</v>
      </c>
      <c r="O266" s="4">
        <f>Tabla1[Unidades_Defectuosas] / Tabla1[Unidades_Producidas]</f>
        <v>2.3474178403755867E-2</v>
      </c>
      <c r="P266" s="4">
        <f>Tabla1[Unidades_Buenas] / Tabla1[Unidades_Producidas]</f>
        <v>0.97652582159624413</v>
      </c>
      <c r="Q266" s="3">
        <f>IF(Tabla1[Tipo_Defecto_Principal]="Falla de material", 3, IF(Tabla1[Tipo_Defecto_Principal]="Dimensión fuera de especificación", 2, 1))</f>
        <v>1</v>
      </c>
    </row>
    <row r="267" spans="1:17" x14ac:dyDescent="0.3">
      <c r="A267" s="2">
        <v>45222</v>
      </c>
      <c r="B267" t="s">
        <v>8</v>
      </c>
      <c r="C267" t="s">
        <v>12</v>
      </c>
      <c r="D267">
        <v>183</v>
      </c>
      <c r="E267">
        <v>20</v>
      </c>
      <c r="F267" t="s">
        <v>10</v>
      </c>
      <c r="G267">
        <v>0</v>
      </c>
      <c r="H267" t="s">
        <v>26</v>
      </c>
      <c r="I267">
        <f>(480 - Tabla1[Minutos_Paro]) / 60</f>
        <v>8</v>
      </c>
      <c r="J267" t="str">
        <f>IF(Tabla1[Unidades_Defectuosas] &gt; Tabla1[Unidades_Producidas], "ERROR", "OK")</f>
        <v>OK</v>
      </c>
      <c r="K267" s="1">
        <f>Tabla1[Minutos_Paro] / Tabla1[Unidades_Producidas]</f>
        <v>0</v>
      </c>
      <c r="L267">
        <f>Tabla1[Unidades_Producidas] - Tabla1[Unidades_Defectuosas]</f>
        <v>163</v>
      </c>
      <c r="M267" s="3" t="str">
        <f>IF(Tabla1[Minutos_Paro]=0,"Nula",IF(Tabla1[Minutos_Paro]&lt;30,"Baja",IF(Tabla1[Minutos_Paro]&lt;60,"Media","Alta")))</f>
        <v>Nula</v>
      </c>
      <c r="N267" s="3">
        <f>250</f>
        <v>250</v>
      </c>
      <c r="O267" s="4">
        <f>Tabla1[Unidades_Defectuosas] / Tabla1[Unidades_Producidas]</f>
        <v>0.10928961748633879</v>
      </c>
      <c r="P267" s="4">
        <f>Tabla1[Unidades_Buenas] / Tabla1[Unidades_Producidas]</f>
        <v>0.89071038251366119</v>
      </c>
      <c r="Q267" s="3">
        <f>IF(Tabla1[Tipo_Defecto_Principal]="Falla de material", 3, IF(Tabla1[Tipo_Defecto_Principal]="Dimensión fuera de especificación", 2, 1))</f>
        <v>2</v>
      </c>
    </row>
    <row r="268" spans="1:17" x14ac:dyDescent="0.3">
      <c r="A268" s="2">
        <v>45222</v>
      </c>
      <c r="B268" t="s">
        <v>8</v>
      </c>
      <c r="C268" t="s">
        <v>13</v>
      </c>
      <c r="D268">
        <v>200</v>
      </c>
      <c r="E268">
        <v>7</v>
      </c>
      <c r="F268" t="s">
        <v>18</v>
      </c>
      <c r="G268">
        <v>0</v>
      </c>
      <c r="H268" t="s">
        <v>26</v>
      </c>
      <c r="I268">
        <f>(480 - Tabla1[Minutos_Paro]) / 60</f>
        <v>8</v>
      </c>
      <c r="J268" t="str">
        <f>IF(Tabla1[Unidades_Defectuosas] &gt; Tabla1[Unidades_Producidas], "ERROR", "OK")</f>
        <v>OK</v>
      </c>
      <c r="K268" s="1">
        <f>Tabla1[Minutos_Paro] / Tabla1[Unidades_Producidas]</f>
        <v>0</v>
      </c>
      <c r="L268">
        <f>Tabla1[Unidades_Producidas] - Tabla1[Unidades_Defectuosas]</f>
        <v>193</v>
      </c>
      <c r="M268" s="3" t="str">
        <f>IF(Tabla1[Minutos_Paro]=0,"Nula",IF(Tabla1[Minutos_Paro]&lt;30,"Baja",IF(Tabla1[Minutos_Paro]&lt;60,"Media","Alta")))</f>
        <v>Nula</v>
      </c>
      <c r="N268" s="3">
        <f>250</f>
        <v>250</v>
      </c>
      <c r="O268" s="4">
        <f>Tabla1[Unidades_Defectuosas] / Tabla1[Unidades_Producidas]</f>
        <v>3.5000000000000003E-2</v>
      </c>
      <c r="P268" s="4">
        <f>Tabla1[Unidades_Buenas] / Tabla1[Unidades_Producidas]</f>
        <v>0.96499999999999997</v>
      </c>
      <c r="Q268" s="3">
        <f>IF(Tabla1[Tipo_Defecto_Principal]="Falla de material", 3, IF(Tabla1[Tipo_Defecto_Principal]="Dimensión fuera de especificación", 2, 1))</f>
        <v>1</v>
      </c>
    </row>
    <row r="269" spans="1:17" x14ac:dyDescent="0.3">
      <c r="A269" s="2">
        <v>45222</v>
      </c>
      <c r="B269" t="s">
        <v>8</v>
      </c>
      <c r="C269" t="s">
        <v>15</v>
      </c>
      <c r="D269">
        <v>185</v>
      </c>
      <c r="E269">
        <v>7</v>
      </c>
      <c r="F269" t="s">
        <v>10</v>
      </c>
      <c r="G269">
        <v>60</v>
      </c>
      <c r="H269" t="s">
        <v>24</v>
      </c>
      <c r="I269">
        <f>(480 - Tabla1[Minutos_Paro]) / 60</f>
        <v>7</v>
      </c>
      <c r="J269" t="str">
        <f>IF(Tabla1[Unidades_Defectuosas] &gt; Tabla1[Unidades_Producidas], "ERROR", "OK")</f>
        <v>OK</v>
      </c>
      <c r="K269" s="1">
        <f>Tabla1[Minutos_Paro] / Tabla1[Unidades_Producidas]</f>
        <v>0.32432432432432434</v>
      </c>
      <c r="L269">
        <f>Tabla1[Unidades_Producidas] - Tabla1[Unidades_Defectuosas]</f>
        <v>178</v>
      </c>
      <c r="M269" s="3" t="str">
        <f>IF(Tabla1[Minutos_Paro]=0,"Nula",IF(Tabla1[Minutos_Paro]&lt;30,"Baja",IF(Tabla1[Minutos_Paro]&lt;60,"Media","Alta")))</f>
        <v>Alta</v>
      </c>
      <c r="N269" s="3">
        <f>250</f>
        <v>250</v>
      </c>
      <c r="O269" s="4">
        <f>Tabla1[Unidades_Defectuosas] / Tabla1[Unidades_Producidas]</f>
        <v>3.783783783783784E-2</v>
      </c>
      <c r="P269" s="4">
        <f>Tabla1[Unidades_Buenas] / Tabla1[Unidades_Producidas]</f>
        <v>0.96216216216216222</v>
      </c>
      <c r="Q269" s="3">
        <f>IF(Tabla1[Tipo_Defecto_Principal]="Falla de material", 3, IF(Tabla1[Tipo_Defecto_Principal]="Dimensión fuera de especificación", 2, 1))</f>
        <v>2</v>
      </c>
    </row>
    <row r="270" spans="1:17" x14ac:dyDescent="0.3">
      <c r="A270" s="2">
        <v>45222</v>
      </c>
      <c r="B270" t="s">
        <v>17</v>
      </c>
      <c r="C270" t="s">
        <v>9</v>
      </c>
      <c r="D270">
        <v>204</v>
      </c>
      <c r="E270">
        <v>3</v>
      </c>
      <c r="F270" t="s">
        <v>16</v>
      </c>
      <c r="G270">
        <v>0</v>
      </c>
      <c r="H270" t="s">
        <v>26</v>
      </c>
      <c r="I270">
        <f>(480 - Tabla1[Minutos_Paro]) / 60</f>
        <v>8</v>
      </c>
      <c r="J270" t="str">
        <f>IF(Tabla1[Unidades_Defectuosas] &gt; Tabla1[Unidades_Producidas], "ERROR", "OK")</f>
        <v>OK</v>
      </c>
      <c r="K270" s="1">
        <f>Tabla1[Minutos_Paro] / Tabla1[Unidades_Producidas]</f>
        <v>0</v>
      </c>
      <c r="L270">
        <f>Tabla1[Unidades_Producidas] - Tabla1[Unidades_Defectuosas]</f>
        <v>201</v>
      </c>
      <c r="M270" s="3" t="str">
        <f>IF(Tabla1[Minutos_Paro]=0,"Nula",IF(Tabla1[Minutos_Paro]&lt;30,"Baja",IF(Tabla1[Minutos_Paro]&lt;60,"Media","Alta")))</f>
        <v>Nula</v>
      </c>
      <c r="N270" s="3">
        <f>250</f>
        <v>250</v>
      </c>
      <c r="O270" s="4">
        <f>Tabla1[Unidades_Defectuosas] / Tabla1[Unidades_Producidas]</f>
        <v>1.4705882352941176E-2</v>
      </c>
      <c r="P270" s="4">
        <f>Tabla1[Unidades_Buenas] / Tabla1[Unidades_Producidas]</f>
        <v>0.98529411764705888</v>
      </c>
      <c r="Q270" s="3">
        <f>IF(Tabla1[Tipo_Defecto_Principal]="Falla de material", 3, IF(Tabla1[Tipo_Defecto_Principal]="Dimensión fuera de especificación", 2, 1))</f>
        <v>1</v>
      </c>
    </row>
    <row r="271" spans="1:17" x14ac:dyDescent="0.3">
      <c r="A271" s="2">
        <v>45222</v>
      </c>
      <c r="B271" t="s">
        <v>17</v>
      </c>
      <c r="C271" t="s">
        <v>12</v>
      </c>
      <c r="D271">
        <v>230</v>
      </c>
      <c r="E271">
        <v>23</v>
      </c>
      <c r="F271" t="s">
        <v>20</v>
      </c>
      <c r="G271">
        <v>15</v>
      </c>
      <c r="H271" t="s">
        <v>25</v>
      </c>
      <c r="I271">
        <f>(480 - Tabla1[Minutos_Paro]) / 60</f>
        <v>7.75</v>
      </c>
      <c r="J271" t="str">
        <f>IF(Tabla1[Unidades_Defectuosas] &gt; Tabla1[Unidades_Producidas], "ERROR", "OK")</f>
        <v>OK</v>
      </c>
      <c r="K271" s="1">
        <f>Tabla1[Minutos_Paro] / Tabla1[Unidades_Producidas]</f>
        <v>6.5217391304347824E-2</v>
      </c>
      <c r="L271">
        <f>Tabla1[Unidades_Producidas] - Tabla1[Unidades_Defectuosas]</f>
        <v>207</v>
      </c>
      <c r="M271" s="3" t="str">
        <f>IF(Tabla1[Minutos_Paro]=0,"Nula",IF(Tabla1[Minutos_Paro]&lt;30,"Baja",IF(Tabla1[Minutos_Paro]&lt;60,"Media","Alta")))</f>
        <v>Baja</v>
      </c>
      <c r="N271" s="3">
        <f>250</f>
        <v>250</v>
      </c>
      <c r="O271" s="4">
        <f>Tabla1[Unidades_Defectuosas] / Tabla1[Unidades_Producidas]</f>
        <v>0.1</v>
      </c>
      <c r="P271" s="4">
        <f>Tabla1[Unidades_Buenas] / Tabla1[Unidades_Producidas]</f>
        <v>0.9</v>
      </c>
      <c r="Q271" s="3">
        <f>IF(Tabla1[Tipo_Defecto_Principal]="Falla de material", 3, IF(Tabla1[Tipo_Defecto_Principal]="Dimensión fuera de especificación", 2, 1))</f>
        <v>1</v>
      </c>
    </row>
    <row r="272" spans="1:17" x14ac:dyDescent="0.3">
      <c r="A272" s="2">
        <v>45222</v>
      </c>
      <c r="B272" t="s">
        <v>17</v>
      </c>
      <c r="C272" t="s">
        <v>13</v>
      </c>
      <c r="D272">
        <v>242</v>
      </c>
      <c r="E272">
        <v>7</v>
      </c>
      <c r="F272" t="s">
        <v>20</v>
      </c>
      <c r="G272">
        <v>0</v>
      </c>
      <c r="H272" t="s">
        <v>26</v>
      </c>
      <c r="I272">
        <f>(480 - Tabla1[Minutos_Paro]) / 60</f>
        <v>8</v>
      </c>
      <c r="J272" t="str">
        <f>IF(Tabla1[Unidades_Defectuosas] &gt; Tabla1[Unidades_Producidas], "ERROR", "OK")</f>
        <v>OK</v>
      </c>
      <c r="K272" s="1">
        <f>Tabla1[Minutos_Paro] / Tabla1[Unidades_Producidas]</f>
        <v>0</v>
      </c>
      <c r="L272">
        <f>Tabla1[Unidades_Producidas] - Tabla1[Unidades_Defectuosas]</f>
        <v>235</v>
      </c>
      <c r="M272" s="3" t="str">
        <f>IF(Tabla1[Minutos_Paro]=0,"Nula",IF(Tabla1[Minutos_Paro]&lt;30,"Baja",IF(Tabla1[Minutos_Paro]&lt;60,"Media","Alta")))</f>
        <v>Nula</v>
      </c>
      <c r="N272" s="3">
        <f>250</f>
        <v>250</v>
      </c>
      <c r="O272" s="4">
        <f>Tabla1[Unidades_Defectuosas] / Tabla1[Unidades_Producidas]</f>
        <v>2.8925619834710745E-2</v>
      </c>
      <c r="P272" s="4">
        <f>Tabla1[Unidades_Buenas] / Tabla1[Unidades_Producidas]</f>
        <v>0.97107438016528924</v>
      </c>
      <c r="Q272" s="3">
        <f>IF(Tabla1[Tipo_Defecto_Principal]="Falla de material", 3, IF(Tabla1[Tipo_Defecto_Principal]="Dimensión fuera de especificación", 2, 1))</f>
        <v>1</v>
      </c>
    </row>
    <row r="273" spans="1:17" x14ac:dyDescent="0.3">
      <c r="A273" s="2">
        <v>45222</v>
      </c>
      <c r="B273" t="s">
        <v>17</v>
      </c>
      <c r="C273" t="s">
        <v>15</v>
      </c>
      <c r="D273">
        <v>188</v>
      </c>
      <c r="E273">
        <v>2</v>
      </c>
      <c r="F273" t="s">
        <v>16</v>
      </c>
      <c r="G273">
        <v>0</v>
      </c>
      <c r="H273" t="s">
        <v>26</v>
      </c>
      <c r="I273">
        <f>(480 - Tabla1[Minutos_Paro]) / 60</f>
        <v>8</v>
      </c>
      <c r="J273" t="str">
        <f>IF(Tabla1[Unidades_Defectuosas] &gt; Tabla1[Unidades_Producidas], "ERROR", "OK")</f>
        <v>OK</v>
      </c>
      <c r="K273" s="1">
        <f>Tabla1[Minutos_Paro] / Tabla1[Unidades_Producidas]</f>
        <v>0</v>
      </c>
      <c r="L273">
        <f>Tabla1[Unidades_Producidas] - Tabla1[Unidades_Defectuosas]</f>
        <v>186</v>
      </c>
      <c r="M273" s="3" t="str">
        <f>IF(Tabla1[Minutos_Paro]=0,"Nula",IF(Tabla1[Minutos_Paro]&lt;30,"Baja",IF(Tabla1[Minutos_Paro]&lt;60,"Media","Alta")))</f>
        <v>Nula</v>
      </c>
      <c r="N273" s="3">
        <f>250</f>
        <v>250</v>
      </c>
      <c r="O273" s="4">
        <f>Tabla1[Unidades_Defectuosas] / Tabla1[Unidades_Producidas]</f>
        <v>1.0638297872340425E-2</v>
      </c>
      <c r="P273" s="4">
        <f>Tabla1[Unidades_Buenas] / Tabla1[Unidades_Producidas]</f>
        <v>0.98936170212765961</v>
      </c>
      <c r="Q273" s="3">
        <f>IF(Tabla1[Tipo_Defecto_Principal]="Falla de material", 3, IF(Tabla1[Tipo_Defecto_Principal]="Dimensión fuera de especificación", 2, 1))</f>
        <v>1</v>
      </c>
    </row>
    <row r="274" spans="1:17" x14ac:dyDescent="0.3">
      <c r="A274" s="2">
        <v>45222</v>
      </c>
      <c r="B274" t="s">
        <v>19</v>
      </c>
      <c r="C274" t="s">
        <v>9</v>
      </c>
      <c r="D274">
        <v>238</v>
      </c>
      <c r="E274">
        <v>10</v>
      </c>
      <c r="F274" t="s">
        <v>18</v>
      </c>
      <c r="G274">
        <v>0</v>
      </c>
      <c r="H274" t="s">
        <v>26</v>
      </c>
      <c r="I274">
        <f>(480 - Tabla1[Minutos_Paro]) / 60</f>
        <v>8</v>
      </c>
      <c r="J274" t="str">
        <f>IF(Tabla1[Unidades_Defectuosas] &gt; Tabla1[Unidades_Producidas], "ERROR", "OK")</f>
        <v>OK</v>
      </c>
      <c r="K274" s="1">
        <f>Tabla1[Minutos_Paro] / Tabla1[Unidades_Producidas]</f>
        <v>0</v>
      </c>
      <c r="L274">
        <f>Tabla1[Unidades_Producidas] - Tabla1[Unidades_Defectuosas]</f>
        <v>228</v>
      </c>
      <c r="M274" s="3" t="str">
        <f>IF(Tabla1[Minutos_Paro]=0,"Nula",IF(Tabla1[Minutos_Paro]&lt;30,"Baja",IF(Tabla1[Minutos_Paro]&lt;60,"Media","Alta")))</f>
        <v>Nula</v>
      </c>
      <c r="N274" s="3">
        <f>250</f>
        <v>250</v>
      </c>
      <c r="O274" s="4">
        <f>Tabla1[Unidades_Defectuosas] / Tabla1[Unidades_Producidas]</f>
        <v>4.2016806722689079E-2</v>
      </c>
      <c r="P274" s="4">
        <f>Tabla1[Unidades_Buenas] / Tabla1[Unidades_Producidas]</f>
        <v>0.95798319327731096</v>
      </c>
      <c r="Q274" s="3">
        <f>IF(Tabla1[Tipo_Defecto_Principal]="Falla de material", 3, IF(Tabla1[Tipo_Defecto_Principal]="Dimensión fuera de especificación", 2, 1))</f>
        <v>1</v>
      </c>
    </row>
    <row r="275" spans="1:17" x14ac:dyDescent="0.3">
      <c r="A275" s="2">
        <v>45222</v>
      </c>
      <c r="B275" t="s">
        <v>19</v>
      </c>
      <c r="C275" t="s">
        <v>12</v>
      </c>
      <c r="D275">
        <v>191</v>
      </c>
      <c r="E275">
        <v>20</v>
      </c>
      <c r="F275" t="s">
        <v>10</v>
      </c>
      <c r="G275">
        <v>0</v>
      </c>
      <c r="H275" t="s">
        <v>26</v>
      </c>
      <c r="I275">
        <f>(480 - Tabla1[Minutos_Paro]) / 60</f>
        <v>8</v>
      </c>
      <c r="J275" t="str">
        <f>IF(Tabla1[Unidades_Defectuosas] &gt; Tabla1[Unidades_Producidas], "ERROR", "OK")</f>
        <v>OK</v>
      </c>
      <c r="K275" s="1">
        <f>Tabla1[Minutos_Paro] / Tabla1[Unidades_Producidas]</f>
        <v>0</v>
      </c>
      <c r="L275">
        <f>Tabla1[Unidades_Producidas] - Tabla1[Unidades_Defectuosas]</f>
        <v>171</v>
      </c>
      <c r="M275" s="3" t="str">
        <f>IF(Tabla1[Minutos_Paro]=0,"Nula",IF(Tabla1[Minutos_Paro]&lt;30,"Baja",IF(Tabla1[Minutos_Paro]&lt;60,"Media","Alta")))</f>
        <v>Nula</v>
      </c>
      <c r="N275" s="3">
        <f>250</f>
        <v>250</v>
      </c>
      <c r="O275" s="4">
        <f>Tabla1[Unidades_Defectuosas] / Tabla1[Unidades_Producidas]</f>
        <v>0.10471204188481675</v>
      </c>
      <c r="P275" s="4">
        <f>Tabla1[Unidades_Buenas] / Tabla1[Unidades_Producidas]</f>
        <v>0.89528795811518325</v>
      </c>
      <c r="Q275" s="3">
        <f>IF(Tabla1[Tipo_Defecto_Principal]="Falla de material", 3, IF(Tabla1[Tipo_Defecto_Principal]="Dimensión fuera de especificación", 2, 1))</f>
        <v>2</v>
      </c>
    </row>
    <row r="276" spans="1:17" x14ac:dyDescent="0.3">
      <c r="A276" s="2">
        <v>45222</v>
      </c>
      <c r="B276" t="s">
        <v>19</v>
      </c>
      <c r="C276" t="s">
        <v>13</v>
      </c>
      <c r="D276">
        <v>199</v>
      </c>
      <c r="E276">
        <v>4</v>
      </c>
      <c r="F276" t="s">
        <v>16</v>
      </c>
      <c r="G276">
        <v>15</v>
      </c>
      <c r="H276" t="s">
        <v>23</v>
      </c>
      <c r="I276">
        <f>(480 - Tabla1[Minutos_Paro]) / 60</f>
        <v>7.75</v>
      </c>
      <c r="J276" t="str">
        <f>IF(Tabla1[Unidades_Defectuosas] &gt; Tabla1[Unidades_Producidas], "ERROR", "OK")</f>
        <v>OK</v>
      </c>
      <c r="K276" s="1">
        <f>Tabla1[Minutos_Paro] / Tabla1[Unidades_Producidas]</f>
        <v>7.5376884422110546E-2</v>
      </c>
      <c r="L276">
        <f>Tabla1[Unidades_Producidas] - Tabla1[Unidades_Defectuosas]</f>
        <v>195</v>
      </c>
      <c r="M276" s="3" t="str">
        <f>IF(Tabla1[Minutos_Paro]=0,"Nula",IF(Tabla1[Minutos_Paro]&lt;30,"Baja",IF(Tabla1[Minutos_Paro]&lt;60,"Media","Alta")))</f>
        <v>Baja</v>
      </c>
      <c r="N276" s="3">
        <f>250</f>
        <v>250</v>
      </c>
      <c r="O276" s="4">
        <f>Tabla1[Unidades_Defectuosas] / Tabla1[Unidades_Producidas]</f>
        <v>2.0100502512562814E-2</v>
      </c>
      <c r="P276" s="4">
        <f>Tabla1[Unidades_Buenas] / Tabla1[Unidades_Producidas]</f>
        <v>0.97989949748743721</v>
      </c>
      <c r="Q276" s="3">
        <f>IF(Tabla1[Tipo_Defecto_Principal]="Falla de material", 3, IF(Tabla1[Tipo_Defecto_Principal]="Dimensión fuera de especificación", 2, 1))</f>
        <v>1</v>
      </c>
    </row>
    <row r="277" spans="1:17" x14ac:dyDescent="0.3">
      <c r="A277" s="2">
        <v>45222</v>
      </c>
      <c r="B277" t="s">
        <v>19</v>
      </c>
      <c r="C277" t="s">
        <v>15</v>
      </c>
      <c r="D277">
        <v>244</v>
      </c>
      <c r="E277">
        <v>4</v>
      </c>
      <c r="F277" t="s">
        <v>10</v>
      </c>
      <c r="G277">
        <v>0</v>
      </c>
      <c r="H277" t="s">
        <v>26</v>
      </c>
      <c r="I277">
        <f>(480 - Tabla1[Minutos_Paro]) / 60</f>
        <v>8</v>
      </c>
      <c r="J277" t="str">
        <f>IF(Tabla1[Unidades_Defectuosas] &gt; Tabla1[Unidades_Producidas], "ERROR", "OK")</f>
        <v>OK</v>
      </c>
      <c r="K277" s="1">
        <f>Tabla1[Minutos_Paro] / Tabla1[Unidades_Producidas]</f>
        <v>0</v>
      </c>
      <c r="L277">
        <f>Tabla1[Unidades_Producidas] - Tabla1[Unidades_Defectuosas]</f>
        <v>240</v>
      </c>
      <c r="M277" s="3" t="str">
        <f>IF(Tabla1[Minutos_Paro]=0,"Nula",IF(Tabla1[Minutos_Paro]&lt;30,"Baja",IF(Tabla1[Minutos_Paro]&lt;60,"Media","Alta")))</f>
        <v>Nula</v>
      </c>
      <c r="N277" s="3">
        <f>250</f>
        <v>250</v>
      </c>
      <c r="O277" s="4">
        <f>Tabla1[Unidades_Defectuosas] / Tabla1[Unidades_Producidas]</f>
        <v>1.6393442622950821E-2</v>
      </c>
      <c r="P277" s="4">
        <f>Tabla1[Unidades_Buenas] / Tabla1[Unidades_Producidas]</f>
        <v>0.98360655737704916</v>
      </c>
      <c r="Q277" s="3">
        <f>IF(Tabla1[Tipo_Defecto_Principal]="Falla de material", 3, IF(Tabla1[Tipo_Defecto_Principal]="Dimensión fuera de especificación", 2, 1))</f>
        <v>2</v>
      </c>
    </row>
    <row r="278" spans="1:17" x14ac:dyDescent="0.3">
      <c r="A278" s="2">
        <v>45223</v>
      </c>
      <c r="B278" t="s">
        <v>8</v>
      </c>
      <c r="C278" t="s">
        <v>9</v>
      </c>
      <c r="D278">
        <v>198</v>
      </c>
      <c r="E278">
        <v>8</v>
      </c>
      <c r="F278" t="s">
        <v>16</v>
      </c>
      <c r="G278">
        <v>0</v>
      </c>
      <c r="H278" t="s">
        <v>26</v>
      </c>
      <c r="I278">
        <f>(480 - Tabla1[Minutos_Paro]) / 60</f>
        <v>8</v>
      </c>
      <c r="J278" t="str">
        <f>IF(Tabla1[Unidades_Defectuosas] &gt; Tabla1[Unidades_Producidas], "ERROR", "OK")</f>
        <v>OK</v>
      </c>
      <c r="K278" s="1">
        <f>Tabla1[Minutos_Paro] / Tabla1[Unidades_Producidas]</f>
        <v>0</v>
      </c>
      <c r="L278">
        <f>Tabla1[Unidades_Producidas] - Tabla1[Unidades_Defectuosas]</f>
        <v>190</v>
      </c>
      <c r="M278" s="3" t="str">
        <f>IF(Tabla1[Minutos_Paro]=0,"Nula",IF(Tabla1[Minutos_Paro]&lt;30,"Baja",IF(Tabla1[Minutos_Paro]&lt;60,"Media","Alta")))</f>
        <v>Nula</v>
      </c>
      <c r="N278" s="3">
        <f>250</f>
        <v>250</v>
      </c>
      <c r="O278" s="4">
        <f>Tabla1[Unidades_Defectuosas] / Tabla1[Unidades_Producidas]</f>
        <v>4.0404040404040407E-2</v>
      </c>
      <c r="P278" s="4">
        <f>Tabla1[Unidades_Buenas] / Tabla1[Unidades_Producidas]</f>
        <v>0.95959595959595956</v>
      </c>
      <c r="Q278" s="3">
        <f>IF(Tabla1[Tipo_Defecto_Principal]="Falla de material", 3, IF(Tabla1[Tipo_Defecto_Principal]="Dimensión fuera de especificación", 2, 1))</f>
        <v>1</v>
      </c>
    </row>
    <row r="279" spans="1:17" x14ac:dyDescent="0.3">
      <c r="A279" s="2">
        <v>45223</v>
      </c>
      <c r="B279" t="s">
        <v>8</v>
      </c>
      <c r="C279" t="s">
        <v>12</v>
      </c>
      <c r="D279">
        <v>224</v>
      </c>
      <c r="E279">
        <v>31</v>
      </c>
      <c r="F279" t="s">
        <v>10</v>
      </c>
      <c r="G279">
        <v>0</v>
      </c>
      <c r="H279" t="s">
        <v>26</v>
      </c>
      <c r="I279">
        <f>(480 - Tabla1[Minutos_Paro]) / 60</f>
        <v>8</v>
      </c>
      <c r="J279" t="str">
        <f>IF(Tabla1[Unidades_Defectuosas] &gt; Tabla1[Unidades_Producidas], "ERROR", "OK")</f>
        <v>OK</v>
      </c>
      <c r="K279" s="1">
        <f>Tabla1[Minutos_Paro] / Tabla1[Unidades_Producidas]</f>
        <v>0</v>
      </c>
      <c r="L279">
        <f>Tabla1[Unidades_Producidas] - Tabla1[Unidades_Defectuosas]</f>
        <v>193</v>
      </c>
      <c r="M279" s="3" t="str">
        <f>IF(Tabla1[Minutos_Paro]=0,"Nula",IF(Tabla1[Minutos_Paro]&lt;30,"Baja",IF(Tabla1[Minutos_Paro]&lt;60,"Media","Alta")))</f>
        <v>Nula</v>
      </c>
      <c r="N279" s="3">
        <f>250</f>
        <v>250</v>
      </c>
      <c r="O279" s="4">
        <f>Tabla1[Unidades_Defectuosas] / Tabla1[Unidades_Producidas]</f>
        <v>0.13839285714285715</v>
      </c>
      <c r="P279" s="4">
        <f>Tabla1[Unidades_Buenas] / Tabla1[Unidades_Producidas]</f>
        <v>0.8616071428571429</v>
      </c>
      <c r="Q279" s="3">
        <f>IF(Tabla1[Tipo_Defecto_Principal]="Falla de material", 3, IF(Tabla1[Tipo_Defecto_Principal]="Dimensión fuera de especificación", 2, 1))</f>
        <v>2</v>
      </c>
    </row>
    <row r="280" spans="1:17" x14ac:dyDescent="0.3">
      <c r="A280" s="2">
        <v>45223</v>
      </c>
      <c r="B280" t="s">
        <v>8</v>
      </c>
      <c r="C280" t="s">
        <v>13</v>
      </c>
      <c r="D280">
        <v>234</v>
      </c>
      <c r="E280">
        <v>4</v>
      </c>
      <c r="F280" t="s">
        <v>10</v>
      </c>
      <c r="G280">
        <v>0</v>
      </c>
      <c r="H280" t="s">
        <v>26</v>
      </c>
      <c r="I280">
        <f>(480 - Tabla1[Minutos_Paro]) / 60</f>
        <v>8</v>
      </c>
      <c r="J280" t="str">
        <f>IF(Tabla1[Unidades_Defectuosas] &gt; Tabla1[Unidades_Producidas], "ERROR", "OK")</f>
        <v>OK</v>
      </c>
      <c r="K280" s="1">
        <f>Tabla1[Minutos_Paro] / Tabla1[Unidades_Producidas]</f>
        <v>0</v>
      </c>
      <c r="L280">
        <f>Tabla1[Unidades_Producidas] - Tabla1[Unidades_Defectuosas]</f>
        <v>230</v>
      </c>
      <c r="M280" s="3" t="str">
        <f>IF(Tabla1[Minutos_Paro]=0,"Nula",IF(Tabla1[Minutos_Paro]&lt;30,"Baja",IF(Tabla1[Minutos_Paro]&lt;60,"Media","Alta")))</f>
        <v>Nula</v>
      </c>
      <c r="N280" s="3">
        <f>250</f>
        <v>250</v>
      </c>
      <c r="O280" s="4">
        <f>Tabla1[Unidades_Defectuosas] / Tabla1[Unidades_Producidas]</f>
        <v>1.7094017094017096E-2</v>
      </c>
      <c r="P280" s="4">
        <f>Tabla1[Unidades_Buenas] / Tabla1[Unidades_Producidas]</f>
        <v>0.98290598290598286</v>
      </c>
      <c r="Q280" s="3">
        <f>IF(Tabla1[Tipo_Defecto_Principal]="Falla de material", 3, IF(Tabla1[Tipo_Defecto_Principal]="Dimensión fuera de especificación", 2, 1))</f>
        <v>2</v>
      </c>
    </row>
    <row r="281" spans="1:17" x14ac:dyDescent="0.3">
      <c r="A281" s="2">
        <v>45223</v>
      </c>
      <c r="B281" t="s">
        <v>8</v>
      </c>
      <c r="C281" t="s">
        <v>15</v>
      </c>
      <c r="D281">
        <v>185</v>
      </c>
      <c r="E281">
        <v>2</v>
      </c>
      <c r="F281" t="s">
        <v>10</v>
      </c>
      <c r="G281">
        <v>60</v>
      </c>
      <c r="H281" t="s">
        <v>25</v>
      </c>
      <c r="I281">
        <f>(480 - Tabla1[Minutos_Paro]) / 60</f>
        <v>7</v>
      </c>
      <c r="J281" t="str">
        <f>IF(Tabla1[Unidades_Defectuosas] &gt; Tabla1[Unidades_Producidas], "ERROR", "OK")</f>
        <v>OK</v>
      </c>
      <c r="K281" s="1">
        <f>Tabla1[Minutos_Paro] / Tabla1[Unidades_Producidas]</f>
        <v>0.32432432432432434</v>
      </c>
      <c r="L281">
        <f>Tabla1[Unidades_Producidas] - Tabla1[Unidades_Defectuosas]</f>
        <v>183</v>
      </c>
      <c r="M281" s="3" t="str">
        <f>IF(Tabla1[Minutos_Paro]=0,"Nula",IF(Tabla1[Minutos_Paro]&lt;30,"Baja",IF(Tabla1[Minutos_Paro]&lt;60,"Media","Alta")))</f>
        <v>Alta</v>
      </c>
      <c r="N281" s="3">
        <f>250</f>
        <v>250</v>
      </c>
      <c r="O281" s="4">
        <f>Tabla1[Unidades_Defectuosas] / Tabla1[Unidades_Producidas]</f>
        <v>1.0810810810810811E-2</v>
      </c>
      <c r="P281" s="4">
        <f>Tabla1[Unidades_Buenas] / Tabla1[Unidades_Producidas]</f>
        <v>0.98918918918918919</v>
      </c>
      <c r="Q281" s="3">
        <f>IF(Tabla1[Tipo_Defecto_Principal]="Falla de material", 3, IF(Tabla1[Tipo_Defecto_Principal]="Dimensión fuera de especificación", 2, 1))</f>
        <v>2</v>
      </c>
    </row>
    <row r="282" spans="1:17" x14ac:dyDescent="0.3">
      <c r="A282" s="2">
        <v>45223</v>
      </c>
      <c r="B282" t="s">
        <v>17</v>
      </c>
      <c r="C282" t="s">
        <v>9</v>
      </c>
      <c r="D282">
        <v>219</v>
      </c>
      <c r="E282">
        <v>6</v>
      </c>
      <c r="F282" t="s">
        <v>16</v>
      </c>
      <c r="G282">
        <v>15</v>
      </c>
      <c r="H282" t="s">
        <v>11</v>
      </c>
      <c r="I282">
        <f>(480 - Tabla1[Minutos_Paro]) / 60</f>
        <v>7.75</v>
      </c>
      <c r="J282" t="str">
        <f>IF(Tabla1[Unidades_Defectuosas] &gt; Tabla1[Unidades_Producidas], "ERROR", "OK")</f>
        <v>OK</v>
      </c>
      <c r="K282" s="1">
        <f>Tabla1[Minutos_Paro] / Tabla1[Unidades_Producidas]</f>
        <v>6.8493150684931503E-2</v>
      </c>
      <c r="L282">
        <f>Tabla1[Unidades_Producidas] - Tabla1[Unidades_Defectuosas]</f>
        <v>213</v>
      </c>
      <c r="M282" s="3" t="str">
        <f>IF(Tabla1[Minutos_Paro]=0,"Nula",IF(Tabla1[Minutos_Paro]&lt;30,"Baja",IF(Tabla1[Minutos_Paro]&lt;60,"Media","Alta")))</f>
        <v>Baja</v>
      </c>
      <c r="N282" s="3">
        <f>250</f>
        <v>250</v>
      </c>
      <c r="O282" s="4">
        <f>Tabla1[Unidades_Defectuosas] / Tabla1[Unidades_Producidas]</f>
        <v>2.7397260273972601E-2</v>
      </c>
      <c r="P282" s="4">
        <f>Tabla1[Unidades_Buenas] / Tabla1[Unidades_Producidas]</f>
        <v>0.9726027397260274</v>
      </c>
      <c r="Q282" s="3">
        <f>IF(Tabla1[Tipo_Defecto_Principal]="Falla de material", 3, IF(Tabla1[Tipo_Defecto_Principal]="Dimensión fuera de especificación", 2, 1))</f>
        <v>1</v>
      </c>
    </row>
    <row r="283" spans="1:17" x14ac:dyDescent="0.3">
      <c r="A283" s="2">
        <v>45223</v>
      </c>
      <c r="B283" t="s">
        <v>17</v>
      </c>
      <c r="C283" t="s">
        <v>12</v>
      </c>
      <c r="D283">
        <v>218</v>
      </c>
      <c r="E283">
        <v>22</v>
      </c>
      <c r="F283" t="s">
        <v>10</v>
      </c>
      <c r="G283">
        <v>0</v>
      </c>
      <c r="H283" t="s">
        <v>26</v>
      </c>
      <c r="I283">
        <f>(480 - Tabla1[Minutos_Paro]) / 60</f>
        <v>8</v>
      </c>
      <c r="J283" t="str">
        <f>IF(Tabla1[Unidades_Defectuosas] &gt; Tabla1[Unidades_Producidas], "ERROR", "OK")</f>
        <v>OK</v>
      </c>
      <c r="K283" s="1">
        <f>Tabla1[Minutos_Paro] / Tabla1[Unidades_Producidas]</f>
        <v>0</v>
      </c>
      <c r="L283">
        <f>Tabla1[Unidades_Producidas] - Tabla1[Unidades_Defectuosas]</f>
        <v>196</v>
      </c>
      <c r="M283" s="3" t="str">
        <f>IF(Tabla1[Minutos_Paro]=0,"Nula",IF(Tabla1[Minutos_Paro]&lt;30,"Baja",IF(Tabla1[Minutos_Paro]&lt;60,"Media","Alta")))</f>
        <v>Nula</v>
      </c>
      <c r="N283" s="3">
        <f>250</f>
        <v>250</v>
      </c>
      <c r="O283" s="4">
        <f>Tabla1[Unidades_Defectuosas] / Tabla1[Unidades_Producidas]</f>
        <v>0.10091743119266056</v>
      </c>
      <c r="P283" s="4">
        <f>Tabla1[Unidades_Buenas] / Tabla1[Unidades_Producidas]</f>
        <v>0.8990825688073395</v>
      </c>
      <c r="Q283" s="3">
        <f>IF(Tabla1[Tipo_Defecto_Principal]="Falla de material", 3, IF(Tabla1[Tipo_Defecto_Principal]="Dimensión fuera de especificación", 2, 1))</f>
        <v>2</v>
      </c>
    </row>
    <row r="284" spans="1:17" x14ac:dyDescent="0.3">
      <c r="A284" s="2">
        <v>45223</v>
      </c>
      <c r="B284" t="s">
        <v>17</v>
      </c>
      <c r="C284" t="s">
        <v>13</v>
      </c>
      <c r="D284">
        <v>233</v>
      </c>
      <c r="E284">
        <v>5</v>
      </c>
      <c r="F284" t="s">
        <v>20</v>
      </c>
      <c r="G284">
        <v>0</v>
      </c>
      <c r="H284" t="s">
        <v>26</v>
      </c>
      <c r="I284">
        <f>(480 - Tabla1[Minutos_Paro]) / 60</f>
        <v>8</v>
      </c>
      <c r="J284" t="str">
        <f>IF(Tabla1[Unidades_Defectuosas] &gt; Tabla1[Unidades_Producidas], "ERROR", "OK")</f>
        <v>OK</v>
      </c>
      <c r="K284" s="1">
        <f>Tabla1[Minutos_Paro] / Tabla1[Unidades_Producidas]</f>
        <v>0</v>
      </c>
      <c r="L284">
        <f>Tabla1[Unidades_Producidas] - Tabla1[Unidades_Defectuosas]</f>
        <v>228</v>
      </c>
      <c r="M284" s="3" t="str">
        <f>IF(Tabla1[Minutos_Paro]=0,"Nula",IF(Tabla1[Minutos_Paro]&lt;30,"Baja",IF(Tabla1[Minutos_Paro]&lt;60,"Media","Alta")))</f>
        <v>Nula</v>
      </c>
      <c r="N284" s="3">
        <f>250</f>
        <v>250</v>
      </c>
      <c r="O284" s="4">
        <f>Tabla1[Unidades_Defectuosas] / Tabla1[Unidades_Producidas]</f>
        <v>2.1459227467811159E-2</v>
      </c>
      <c r="P284" s="4">
        <f>Tabla1[Unidades_Buenas] / Tabla1[Unidades_Producidas]</f>
        <v>0.97854077253218885</v>
      </c>
      <c r="Q284" s="3">
        <f>IF(Tabla1[Tipo_Defecto_Principal]="Falla de material", 3, IF(Tabla1[Tipo_Defecto_Principal]="Dimensión fuera de especificación", 2, 1))</f>
        <v>1</v>
      </c>
    </row>
    <row r="285" spans="1:17" x14ac:dyDescent="0.3">
      <c r="A285" s="2">
        <v>45223</v>
      </c>
      <c r="B285" t="s">
        <v>17</v>
      </c>
      <c r="C285" t="s">
        <v>15</v>
      </c>
      <c r="D285">
        <v>220</v>
      </c>
      <c r="E285">
        <v>2</v>
      </c>
      <c r="F285" t="s">
        <v>16</v>
      </c>
      <c r="G285">
        <v>0</v>
      </c>
      <c r="H285" t="s">
        <v>26</v>
      </c>
      <c r="I285">
        <f>(480 - Tabla1[Minutos_Paro]) / 60</f>
        <v>8</v>
      </c>
      <c r="J285" t="str">
        <f>IF(Tabla1[Unidades_Defectuosas] &gt; Tabla1[Unidades_Producidas], "ERROR", "OK")</f>
        <v>OK</v>
      </c>
      <c r="K285" s="1">
        <f>Tabla1[Minutos_Paro] / Tabla1[Unidades_Producidas]</f>
        <v>0</v>
      </c>
      <c r="L285">
        <f>Tabla1[Unidades_Producidas] - Tabla1[Unidades_Defectuosas]</f>
        <v>218</v>
      </c>
      <c r="M285" s="3" t="str">
        <f>IF(Tabla1[Minutos_Paro]=0,"Nula",IF(Tabla1[Minutos_Paro]&lt;30,"Baja",IF(Tabla1[Minutos_Paro]&lt;60,"Media","Alta")))</f>
        <v>Nula</v>
      </c>
      <c r="N285" s="3">
        <f>250</f>
        <v>250</v>
      </c>
      <c r="O285" s="4">
        <f>Tabla1[Unidades_Defectuosas] / Tabla1[Unidades_Producidas]</f>
        <v>9.0909090909090905E-3</v>
      </c>
      <c r="P285" s="4">
        <f>Tabla1[Unidades_Buenas] / Tabla1[Unidades_Producidas]</f>
        <v>0.99090909090909096</v>
      </c>
      <c r="Q285" s="3">
        <f>IF(Tabla1[Tipo_Defecto_Principal]="Falla de material", 3, IF(Tabla1[Tipo_Defecto_Principal]="Dimensión fuera de especificación", 2, 1))</f>
        <v>1</v>
      </c>
    </row>
    <row r="286" spans="1:17" x14ac:dyDescent="0.3">
      <c r="A286" s="2">
        <v>45223</v>
      </c>
      <c r="B286" t="s">
        <v>19</v>
      </c>
      <c r="C286" t="s">
        <v>9</v>
      </c>
      <c r="D286">
        <v>225</v>
      </c>
      <c r="E286">
        <v>8</v>
      </c>
      <c r="F286" t="s">
        <v>16</v>
      </c>
      <c r="G286">
        <v>60</v>
      </c>
      <c r="H286" t="s">
        <v>25</v>
      </c>
      <c r="I286">
        <f>(480 - Tabla1[Minutos_Paro]) / 60</f>
        <v>7</v>
      </c>
      <c r="J286" t="str">
        <f>IF(Tabla1[Unidades_Defectuosas] &gt; Tabla1[Unidades_Producidas], "ERROR", "OK")</f>
        <v>OK</v>
      </c>
      <c r="K286" s="1">
        <f>Tabla1[Minutos_Paro] / Tabla1[Unidades_Producidas]</f>
        <v>0.26666666666666666</v>
      </c>
      <c r="L286">
        <f>Tabla1[Unidades_Producidas] - Tabla1[Unidades_Defectuosas]</f>
        <v>217</v>
      </c>
      <c r="M286" s="3" t="str">
        <f>IF(Tabla1[Minutos_Paro]=0,"Nula",IF(Tabla1[Minutos_Paro]&lt;30,"Baja",IF(Tabla1[Minutos_Paro]&lt;60,"Media","Alta")))</f>
        <v>Alta</v>
      </c>
      <c r="N286" s="3">
        <f>250</f>
        <v>250</v>
      </c>
      <c r="O286" s="4">
        <f>Tabla1[Unidades_Defectuosas] / Tabla1[Unidades_Producidas]</f>
        <v>3.5555555555555556E-2</v>
      </c>
      <c r="P286" s="4">
        <f>Tabla1[Unidades_Buenas] / Tabla1[Unidades_Producidas]</f>
        <v>0.96444444444444444</v>
      </c>
      <c r="Q286" s="3">
        <f>IF(Tabla1[Tipo_Defecto_Principal]="Falla de material", 3, IF(Tabla1[Tipo_Defecto_Principal]="Dimensión fuera de especificación", 2, 1))</f>
        <v>1</v>
      </c>
    </row>
    <row r="287" spans="1:17" x14ac:dyDescent="0.3">
      <c r="A287" s="2">
        <v>45223</v>
      </c>
      <c r="B287" t="s">
        <v>19</v>
      </c>
      <c r="C287" t="s">
        <v>12</v>
      </c>
      <c r="D287">
        <v>187</v>
      </c>
      <c r="E287">
        <v>20</v>
      </c>
      <c r="F287" t="s">
        <v>18</v>
      </c>
      <c r="G287">
        <v>0</v>
      </c>
      <c r="H287" t="s">
        <v>26</v>
      </c>
      <c r="I287">
        <f>(480 - Tabla1[Minutos_Paro]) / 60</f>
        <v>8</v>
      </c>
      <c r="J287" t="str">
        <f>IF(Tabla1[Unidades_Defectuosas] &gt; Tabla1[Unidades_Producidas], "ERROR", "OK")</f>
        <v>OK</v>
      </c>
      <c r="K287" s="1">
        <f>Tabla1[Minutos_Paro] / Tabla1[Unidades_Producidas]</f>
        <v>0</v>
      </c>
      <c r="L287">
        <f>Tabla1[Unidades_Producidas] - Tabla1[Unidades_Defectuosas]</f>
        <v>167</v>
      </c>
      <c r="M287" s="3" t="str">
        <f>IF(Tabla1[Minutos_Paro]=0,"Nula",IF(Tabla1[Minutos_Paro]&lt;30,"Baja",IF(Tabla1[Minutos_Paro]&lt;60,"Media","Alta")))</f>
        <v>Nula</v>
      </c>
      <c r="N287" s="3">
        <f>250</f>
        <v>250</v>
      </c>
      <c r="O287" s="4">
        <f>Tabla1[Unidades_Defectuosas] / Tabla1[Unidades_Producidas]</f>
        <v>0.10695187165775401</v>
      </c>
      <c r="P287" s="4">
        <f>Tabla1[Unidades_Buenas] / Tabla1[Unidades_Producidas]</f>
        <v>0.89304812834224601</v>
      </c>
      <c r="Q287" s="3">
        <f>IF(Tabla1[Tipo_Defecto_Principal]="Falla de material", 3, IF(Tabla1[Tipo_Defecto_Principal]="Dimensión fuera de especificación", 2, 1))</f>
        <v>1</v>
      </c>
    </row>
    <row r="288" spans="1:17" x14ac:dyDescent="0.3">
      <c r="A288" s="2">
        <v>45223</v>
      </c>
      <c r="B288" t="s">
        <v>19</v>
      </c>
      <c r="C288" t="s">
        <v>13</v>
      </c>
      <c r="D288">
        <v>226</v>
      </c>
      <c r="E288">
        <v>4</v>
      </c>
      <c r="F288" t="s">
        <v>16</v>
      </c>
      <c r="G288">
        <v>0</v>
      </c>
      <c r="H288" t="s">
        <v>26</v>
      </c>
      <c r="I288">
        <f>(480 - Tabla1[Minutos_Paro]) / 60</f>
        <v>8</v>
      </c>
      <c r="J288" t="str">
        <f>IF(Tabla1[Unidades_Defectuosas] &gt; Tabla1[Unidades_Producidas], "ERROR", "OK")</f>
        <v>OK</v>
      </c>
      <c r="K288" s="1">
        <f>Tabla1[Minutos_Paro] / Tabla1[Unidades_Producidas]</f>
        <v>0</v>
      </c>
      <c r="L288">
        <f>Tabla1[Unidades_Producidas] - Tabla1[Unidades_Defectuosas]</f>
        <v>222</v>
      </c>
      <c r="M288" s="3" t="str">
        <f>IF(Tabla1[Minutos_Paro]=0,"Nula",IF(Tabla1[Minutos_Paro]&lt;30,"Baja",IF(Tabla1[Minutos_Paro]&lt;60,"Media","Alta")))</f>
        <v>Nula</v>
      </c>
      <c r="N288" s="3">
        <f>250</f>
        <v>250</v>
      </c>
      <c r="O288" s="4">
        <f>Tabla1[Unidades_Defectuosas] / Tabla1[Unidades_Producidas]</f>
        <v>1.7699115044247787E-2</v>
      </c>
      <c r="P288" s="4">
        <f>Tabla1[Unidades_Buenas] / Tabla1[Unidades_Producidas]</f>
        <v>0.98230088495575218</v>
      </c>
      <c r="Q288" s="3">
        <f>IF(Tabla1[Tipo_Defecto_Principal]="Falla de material", 3, IF(Tabla1[Tipo_Defecto_Principal]="Dimensión fuera de especificación", 2, 1))</f>
        <v>1</v>
      </c>
    </row>
    <row r="289" spans="1:17" x14ac:dyDescent="0.3">
      <c r="A289" s="2">
        <v>45223</v>
      </c>
      <c r="B289" t="s">
        <v>19</v>
      </c>
      <c r="C289" t="s">
        <v>15</v>
      </c>
      <c r="D289">
        <v>198</v>
      </c>
      <c r="E289">
        <v>10</v>
      </c>
      <c r="F289" t="s">
        <v>18</v>
      </c>
      <c r="G289">
        <v>0</v>
      </c>
      <c r="H289" t="s">
        <v>26</v>
      </c>
      <c r="I289">
        <f>(480 - Tabla1[Minutos_Paro]) / 60</f>
        <v>8</v>
      </c>
      <c r="J289" t="str">
        <f>IF(Tabla1[Unidades_Defectuosas] &gt; Tabla1[Unidades_Producidas], "ERROR", "OK")</f>
        <v>OK</v>
      </c>
      <c r="K289" s="1">
        <f>Tabla1[Minutos_Paro] / Tabla1[Unidades_Producidas]</f>
        <v>0</v>
      </c>
      <c r="L289">
        <f>Tabla1[Unidades_Producidas] - Tabla1[Unidades_Defectuosas]</f>
        <v>188</v>
      </c>
      <c r="M289" s="3" t="str">
        <f>IF(Tabla1[Minutos_Paro]=0,"Nula",IF(Tabla1[Minutos_Paro]&lt;30,"Baja",IF(Tabla1[Minutos_Paro]&lt;60,"Media","Alta")))</f>
        <v>Nula</v>
      </c>
      <c r="N289" s="3">
        <f>250</f>
        <v>250</v>
      </c>
      <c r="O289" s="4">
        <f>Tabla1[Unidades_Defectuosas] / Tabla1[Unidades_Producidas]</f>
        <v>5.0505050505050504E-2</v>
      </c>
      <c r="P289" s="4">
        <f>Tabla1[Unidades_Buenas] / Tabla1[Unidades_Producidas]</f>
        <v>0.9494949494949495</v>
      </c>
      <c r="Q289" s="3">
        <f>IF(Tabla1[Tipo_Defecto_Principal]="Falla de material", 3, IF(Tabla1[Tipo_Defecto_Principal]="Dimensión fuera de especificación", 2, 1))</f>
        <v>1</v>
      </c>
    </row>
    <row r="290" spans="1:17" x14ac:dyDescent="0.3">
      <c r="A290" s="2">
        <v>45224</v>
      </c>
      <c r="B290" t="s">
        <v>8</v>
      </c>
      <c r="C290" t="s">
        <v>9</v>
      </c>
      <c r="D290">
        <v>230</v>
      </c>
      <c r="E290">
        <v>8</v>
      </c>
      <c r="F290" t="s">
        <v>16</v>
      </c>
      <c r="G290">
        <v>0</v>
      </c>
      <c r="H290" t="s">
        <v>26</v>
      </c>
      <c r="I290">
        <f>(480 - Tabla1[Minutos_Paro]) / 60</f>
        <v>8</v>
      </c>
      <c r="J290" t="str">
        <f>IF(Tabla1[Unidades_Defectuosas] &gt; Tabla1[Unidades_Producidas], "ERROR", "OK")</f>
        <v>OK</v>
      </c>
      <c r="K290" s="1">
        <f>Tabla1[Minutos_Paro] / Tabla1[Unidades_Producidas]</f>
        <v>0</v>
      </c>
      <c r="L290">
        <f>Tabla1[Unidades_Producidas] - Tabla1[Unidades_Defectuosas]</f>
        <v>222</v>
      </c>
      <c r="M290" s="3" t="str">
        <f>IF(Tabla1[Minutos_Paro]=0,"Nula",IF(Tabla1[Minutos_Paro]&lt;30,"Baja",IF(Tabla1[Minutos_Paro]&lt;60,"Media","Alta")))</f>
        <v>Nula</v>
      </c>
      <c r="N290" s="3">
        <f>250</f>
        <v>250</v>
      </c>
      <c r="O290" s="4">
        <f>Tabla1[Unidades_Defectuosas] / Tabla1[Unidades_Producidas]</f>
        <v>3.4782608695652174E-2</v>
      </c>
      <c r="P290" s="4">
        <f>Tabla1[Unidades_Buenas] / Tabla1[Unidades_Producidas]</f>
        <v>0.9652173913043478</v>
      </c>
      <c r="Q290" s="3">
        <f>IF(Tabla1[Tipo_Defecto_Principal]="Falla de material", 3, IF(Tabla1[Tipo_Defecto_Principal]="Dimensión fuera de especificación", 2, 1))</f>
        <v>1</v>
      </c>
    </row>
    <row r="291" spans="1:17" x14ac:dyDescent="0.3">
      <c r="A291" s="2">
        <v>45224</v>
      </c>
      <c r="B291" t="s">
        <v>8</v>
      </c>
      <c r="C291" t="s">
        <v>12</v>
      </c>
      <c r="D291">
        <v>191</v>
      </c>
      <c r="E291">
        <v>13</v>
      </c>
      <c r="F291" t="s">
        <v>10</v>
      </c>
      <c r="G291">
        <v>0</v>
      </c>
      <c r="H291" t="s">
        <v>26</v>
      </c>
      <c r="I291">
        <f>(480 - Tabla1[Minutos_Paro]) / 60</f>
        <v>8</v>
      </c>
      <c r="J291" t="str">
        <f>IF(Tabla1[Unidades_Defectuosas] &gt; Tabla1[Unidades_Producidas], "ERROR", "OK")</f>
        <v>OK</v>
      </c>
      <c r="K291" s="1">
        <f>Tabla1[Minutos_Paro] / Tabla1[Unidades_Producidas]</f>
        <v>0</v>
      </c>
      <c r="L291">
        <f>Tabla1[Unidades_Producidas] - Tabla1[Unidades_Defectuosas]</f>
        <v>178</v>
      </c>
      <c r="M291" s="3" t="str">
        <f>IF(Tabla1[Minutos_Paro]=0,"Nula",IF(Tabla1[Minutos_Paro]&lt;30,"Baja",IF(Tabla1[Minutos_Paro]&lt;60,"Media","Alta")))</f>
        <v>Nula</v>
      </c>
      <c r="N291" s="3">
        <f>250</f>
        <v>250</v>
      </c>
      <c r="O291" s="4">
        <f>Tabla1[Unidades_Defectuosas] / Tabla1[Unidades_Producidas]</f>
        <v>6.8062827225130892E-2</v>
      </c>
      <c r="P291" s="4">
        <f>Tabla1[Unidades_Buenas] / Tabla1[Unidades_Producidas]</f>
        <v>0.93193717277486909</v>
      </c>
      <c r="Q291" s="3">
        <f>IF(Tabla1[Tipo_Defecto_Principal]="Falla de material", 3, IF(Tabla1[Tipo_Defecto_Principal]="Dimensión fuera de especificación", 2, 1))</f>
        <v>2</v>
      </c>
    </row>
    <row r="292" spans="1:17" x14ac:dyDescent="0.3">
      <c r="A292" s="2">
        <v>45224</v>
      </c>
      <c r="B292" t="s">
        <v>8</v>
      </c>
      <c r="C292" t="s">
        <v>13</v>
      </c>
      <c r="D292">
        <v>241</v>
      </c>
      <c r="E292">
        <v>11</v>
      </c>
      <c r="F292" t="s">
        <v>20</v>
      </c>
      <c r="G292">
        <v>0</v>
      </c>
      <c r="H292" t="s">
        <v>26</v>
      </c>
      <c r="I292">
        <f>(480 - Tabla1[Minutos_Paro]) / 60</f>
        <v>8</v>
      </c>
      <c r="J292" t="str">
        <f>IF(Tabla1[Unidades_Defectuosas] &gt; Tabla1[Unidades_Producidas], "ERROR", "OK")</f>
        <v>OK</v>
      </c>
      <c r="K292" s="1">
        <f>Tabla1[Minutos_Paro] / Tabla1[Unidades_Producidas]</f>
        <v>0</v>
      </c>
      <c r="L292">
        <f>Tabla1[Unidades_Producidas] - Tabla1[Unidades_Defectuosas]</f>
        <v>230</v>
      </c>
      <c r="M292" s="3" t="str">
        <f>IF(Tabla1[Minutos_Paro]=0,"Nula",IF(Tabla1[Minutos_Paro]&lt;30,"Baja",IF(Tabla1[Minutos_Paro]&lt;60,"Media","Alta")))</f>
        <v>Nula</v>
      </c>
      <c r="N292" s="3">
        <f>250</f>
        <v>250</v>
      </c>
      <c r="O292" s="4">
        <f>Tabla1[Unidades_Defectuosas] / Tabla1[Unidades_Producidas]</f>
        <v>4.5643153526970952E-2</v>
      </c>
      <c r="P292" s="4">
        <f>Tabla1[Unidades_Buenas] / Tabla1[Unidades_Producidas]</f>
        <v>0.9543568464730291</v>
      </c>
      <c r="Q292" s="3">
        <f>IF(Tabla1[Tipo_Defecto_Principal]="Falla de material", 3, IF(Tabla1[Tipo_Defecto_Principal]="Dimensión fuera de especificación", 2, 1))</f>
        <v>1</v>
      </c>
    </row>
    <row r="293" spans="1:17" x14ac:dyDescent="0.3">
      <c r="A293" s="2">
        <v>45224</v>
      </c>
      <c r="B293" t="s">
        <v>8</v>
      </c>
      <c r="C293" t="s">
        <v>15</v>
      </c>
      <c r="D293">
        <v>246</v>
      </c>
      <c r="E293">
        <v>5</v>
      </c>
      <c r="F293" t="s">
        <v>16</v>
      </c>
      <c r="G293">
        <v>0</v>
      </c>
      <c r="H293" t="s">
        <v>26</v>
      </c>
      <c r="I293">
        <f>(480 - Tabla1[Minutos_Paro]) / 60</f>
        <v>8</v>
      </c>
      <c r="J293" t="str">
        <f>IF(Tabla1[Unidades_Defectuosas] &gt; Tabla1[Unidades_Producidas], "ERROR", "OK")</f>
        <v>OK</v>
      </c>
      <c r="K293" s="1">
        <f>Tabla1[Minutos_Paro] / Tabla1[Unidades_Producidas]</f>
        <v>0</v>
      </c>
      <c r="L293">
        <f>Tabla1[Unidades_Producidas] - Tabla1[Unidades_Defectuosas]</f>
        <v>241</v>
      </c>
      <c r="M293" s="3" t="str">
        <f>IF(Tabla1[Minutos_Paro]=0,"Nula",IF(Tabla1[Minutos_Paro]&lt;30,"Baja",IF(Tabla1[Minutos_Paro]&lt;60,"Media","Alta")))</f>
        <v>Nula</v>
      </c>
      <c r="N293" s="3">
        <f>250</f>
        <v>250</v>
      </c>
      <c r="O293" s="4">
        <f>Tabla1[Unidades_Defectuosas] / Tabla1[Unidades_Producidas]</f>
        <v>2.032520325203252E-2</v>
      </c>
      <c r="P293" s="4">
        <f>Tabla1[Unidades_Buenas] / Tabla1[Unidades_Producidas]</f>
        <v>0.97967479674796742</v>
      </c>
      <c r="Q293" s="3">
        <f>IF(Tabla1[Tipo_Defecto_Principal]="Falla de material", 3, IF(Tabla1[Tipo_Defecto_Principal]="Dimensión fuera de especificación", 2, 1))</f>
        <v>1</v>
      </c>
    </row>
    <row r="294" spans="1:17" x14ac:dyDescent="0.3">
      <c r="A294" s="2">
        <v>45224</v>
      </c>
      <c r="B294" t="s">
        <v>17</v>
      </c>
      <c r="C294" t="s">
        <v>9</v>
      </c>
      <c r="D294">
        <v>212</v>
      </c>
      <c r="E294">
        <v>4</v>
      </c>
      <c r="F294" t="s">
        <v>20</v>
      </c>
      <c r="G294">
        <v>0</v>
      </c>
      <c r="H294" t="s">
        <v>26</v>
      </c>
      <c r="I294">
        <f>(480 - Tabla1[Minutos_Paro]) / 60</f>
        <v>8</v>
      </c>
      <c r="J294" t="str">
        <f>IF(Tabla1[Unidades_Defectuosas] &gt; Tabla1[Unidades_Producidas], "ERROR", "OK")</f>
        <v>OK</v>
      </c>
      <c r="K294" s="1">
        <f>Tabla1[Minutos_Paro] / Tabla1[Unidades_Producidas]</f>
        <v>0</v>
      </c>
      <c r="L294">
        <f>Tabla1[Unidades_Producidas] - Tabla1[Unidades_Defectuosas]</f>
        <v>208</v>
      </c>
      <c r="M294" s="3" t="str">
        <f>IF(Tabla1[Minutos_Paro]=0,"Nula",IF(Tabla1[Minutos_Paro]&lt;30,"Baja",IF(Tabla1[Minutos_Paro]&lt;60,"Media","Alta")))</f>
        <v>Nula</v>
      </c>
      <c r="N294" s="3">
        <f>250</f>
        <v>250</v>
      </c>
      <c r="O294" s="4">
        <f>Tabla1[Unidades_Defectuosas] / Tabla1[Unidades_Producidas]</f>
        <v>1.8867924528301886E-2</v>
      </c>
      <c r="P294" s="4">
        <f>Tabla1[Unidades_Buenas] / Tabla1[Unidades_Producidas]</f>
        <v>0.98113207547169812</v>
      </c>
      <c r="Q294" s="3">
        <f>IF(Tabla1[Tipo_Defecto_Principal]="Falla de material", 3, IF(Tabla1[Tipo_Defecto_Principal]="Dimensión fuera de especificación", 2, 1))</f>
        <v>1</v>
      </c>
    </row>
    <row r="295" spans="1:17" x14ac:dyDescent="0.3">
      <c r="A295" s="2">
        <v>45224</v>
      </c>
      <c r="B295" t="s">
        <v>17</v>
      </c>
      <c r="C295" t="s">
        <v>12</v>
      </c>
      <c r="D295">
        <v>226</v>
      </c>
      <c r="E295">
        <v>13</v>
      </c>
      <c r="F295" t="s">
        <v>20</v>
      </c>
      <c r="G295">
        <v>0</v>
      </c>
      <c r="H295" t="s">
        <v>26</v>
      </c>
      <c r="I295">
        <f>(480 - Tabla1[Minutos_Paro]) / 60</f>
        <v>8</v>
      </c>
      <c r="J295" t="str">
        <f>IF(Tabla1[Unidades_Defectuosas] &gt; Tabla1[Unidades_Producidas], "ERROR", "OK")</f>
        <v>OK</v>
      </c>
      <c r="K295" s="1">
        <f>Tabla1[Minutos_Paro] / Tabla1[Unidades_Producidas]</f>
        <v>0</v>
      </c>
      <c r="L295">
        <f>Tabla1[Unidades_Producidas] - Tabla1[Unidades_Defectuosas]</f>
        <v>213</v>
      </c>
      <c r="M295" s="3" t="str">
        <f>IF(Tabla1[Minutos_Paro]=0,"Nula",IF(Tabla1[Minutos_Paro]&lt;30,"Baja",IF(Tabla1[Minutos_Paro]&lt;60,"Media","Alta")))</f>
        <v>Nula</v>
      </c>
      <c r="N295" s="3">
        <f>250</f>
        <v>250</v>
      </c>
      <c r="O295" s="4">
        <f>Tabla1[Unidades_Defectuosas] / Tabla1[Unidades_Producidas]</f>
        <v>5.7522123893805309E-2</v>
      </c>
      <c r="P295" s="4">
        <f>Tabla1[Unidades_Buenas] / Tabla1[Unidades_Producidas]</f>
        <v>0.94247787610619471</v>
      </c>
      <c r="Q295" s="3">
        <f>IF(Tabla1[Tipo_Defecto_Principal]="Falla de material", 3, IF(Tabla1[Tipo_Defecto_Principal]="Dimensión fuera de especificación", 2, 1))</f>
        <v>1</v>
      </c>
    </row>
    <row r="296" spans="1:17" x14ac:dyDescent="0.3">
      <c r="A296" s="2">
        <v>45224</v>
      </c>
      <c r="B296" t="s">
        <v>17</v>
      </c>
      <c r="C296" t="s">
        <v>13</v>
      </c>
      <c r="D296">
        <v>214</v>
      </c>
      <c r="E296">
        <v>5</v>
      </c>
      <c r="F296" t="s">
        <v>16</v>
      </c>
      <c r="G296">
        <v>0</v>
      </c>
      <c r="H296" t="s">
        <v>26</v>
      </c>
      <c r="I296">
        <f>(480 - Tabla1[Minutos_Paro]) / 60</f>
        <v>8</v>
      </c>
      <c r="J296" t="str">
        <f>IF(Tabla1[Unidades_Defectuosas] &gt; Tabla1[Unidades_Producidas], "ERROR", "OK")</f>
        <v>OK</v>
      </c>
      <c r="K296" s="1">
        <f>Tabla1[Minutos_Paro] / Tabla1[Unidades_Producidas]</f>
        <v>0</v>
      </c>
      <c r="L296">
        <f>Tabla1[Unidades_Producidas] - Tabla1[Unidades_Defectuosas]</f>
        <v>209</v>
      </c>
      <c r="M296" s="3" t="str">
        <f>IF(Tabla1[Minutos_Paro]=0,"Nula",IF(Tabla1[Minutos_Paro]&lt;30,"Baja",IF(Tabla1[Minutos_Paro]&lt;60,"Media","Alta")))</f>
        <v>Nula</v>
      </c>
      <c r="N296" s="3">
        <f>250</f>
        <v>250</v>
      </c>
      <c r="O296" s="4">
        <f>Tabla1[Unidades_Defectuosas] / Tabla1[Unidades_Producidas]</f>
        <v>2.336448598130841E-2</v>
      </c>
      <c r="P296" s="4">
        <f>Tabla1[Unidades_Buenas] / Tabla1[Unidades_Producidas]</f>
        <v>0.97663551401869164</v>
      </c>
      <c r="Q296" s="3">
        <f>IF(Tabla1[Tipo_Defecto_Principal]="Falla de material", 3, IF(Tabla1[Tipo_Defecto_Principal]="Dimensión fuera de especificación", 2, 1))</f>
        <v>1</v>
      </c>
    </row>
    <row r="297" spans="1:17" x14ac:dyDescent="0.3">
      <c r="A297" s="2">
        <v>45224</v>
      </c>
      <c r="B297" t="s">
        <v>17</v>
      </c>
      <c r="C297" t="s">
        <v>15</v>
      </c>
      <c r="D297">
        <v>235</v>
      </c>
      <c r="E297">
        <v>5</v>
      </c>
      <c r="F297" t="s">
        <v>20</v>
      </c>
      <c r="G297">
        <v>0</v>
      </c>
      <c r="H297" t="s">
        <v>26</v>
      </c>
      <c r="I297">
        <f>(480 - Tabla1[Minutos_Paro]) / 60</f>
        <v>8</v>
      </c>
      <c r="J297" t="str">
        <f>IF(Tabla1[Unidades_Defectuosas] &gt; Tabla1[Unidades_Producidas], "ERROR", "OK")</f>
        <v>OK</v>
      </c>
      <c r="K297" s="1">
        <f>Tabla1[Minutos_Paro] / Tabla1[Unidades_Producidas]</f>
        <v>0</v>
      </c>
      <c r="L297">
        <f>Tabla1[Unidades_Producidas] - Tabla1[Unidades_Defectuosas]</f>
        <v>230</v>
      </c>
      <c r="M297" s="3" t="str">
        <f>IF(Tabla1[Minutos_Paro]=0,"Nula",IF(Tabla1[Minutos_Paro]&lt;30,"Baja",IF(Tabla1[Minutos_Paro]&lt;60,"Media","Alta")))</f>
        <v>Nula</v>
      </c>
      <c r="N297" s="3">
        <f>250</f>
        <v>250</v>
      </c>
      <c r="O297" s="4">
        <f>Tabla1[Unidades_Defectuosas] / Tabla1[Unidades_Producidas]</f>
        <v>2.1276595744680851E-2</v>
      </c>
      <c r="P297" s="4">
        <f>Tabla1[Unidades_Buenas] / Tabla1[Unidades_Producidas]</f>
        <v>0.97872340425531912</v>
      </c>
      <c r="Q297" s="3">
        <f>IF(Tabla1[Tipo_Defecto_Principal]="Falla de material", 3, IF(Tabla1[Tipo_Defecto_Principal]="Dimensión fuera de especificación", 2, 1))</f>
        <v>1</v>
      </c>
    </row>
    <row r="298" spans="1:17" x14ac:dyDescent="0.3">
      <c r="A298" s="2">
        <v>45224</v>
      </c>
      <c r="B298" t="s">
        <v>19</v>
      </c>
      <c r="C298" t="s">
        <v>9</v>
      </c>
      <c r="D298">
        <v>224</v>
      </c>
      <c r="E298">
        <v>2</v>
      </c>
      <c r="F298" t="s">
        <v>14</v>
      </c>
      <c r="G298">
        <v>0</v>
      </c>
      <c r="H298" t="s">
        <v>26</v>
      </c>
      <c r="I298">
        <f>(480 - Tabla1[Minutos_Paro]) / 60</f>
        <v>8</v>
      </c>
      <c r="J298" t="str">
        <f>IF(Tabla1[Unidades_Defectuosas] &gt; Tabla1[Unidades_Producidas], "ERROR", "OK")</f>
        <v>OK</v>
      </c>
      <c r="K298" s="1">
        <f>Tabla1[Minutos_Paro] / Tabla1[Unidades_Producidas]</f>
        <v>0</v>
      </c>
      <c r="L298">
        <f>Tabla1[Unidades_Producidas] - Tabla1[Unidades_Defectuosas]</f>
        <v>222</v>
      </c>
      <c r="M298" s="3" t="str">
        <f>IF(Tabla1[Minutos_Paro]=0,"Nula",IF(Tabla1[Minutos_Paro]&lt;30,"Baja",IF(Tabla1[Minutos_Paro]&lt;60,"Media","Alta")))</f>
        <v>Nula</v>
      </c>
      <c r="N298" s="3">
        <f>250</f>
        <v>250</v>
      </c>
      <c r="O298" s="4">
        <f>Tabla1[Unidades_Defectuosas] / Tabla1[Unidades_Producidas]</f>
        <v>8.9285714285714281E-3</v>
      </c>
      <c r="P298" s="4">
        <f>Tabla1[Unidades_Buenas] / Tabla1[Unidades_Producidas]</f>
        <v>0.9910714285714286</v>
      </c>
      <c r="Q298" s="3">
        <f>IF(Tabla1[Tipo_Defecto_Principal]="Falla de material", 3, IF(Tabla1[Tipo_Defecto_Principal]="Dimensión fuera de especificación", 2, 1))</f>
        <v>3</v>
      </c>
    </row>
    <row r="299" spans="1:17" x14ac:dyDescent="0.3">
      <c r="A299" s="2">
        <v>45224</v>
      </c>
      <c r="B299" t="s">
        <v>19</v>
      </c>
      <c r="C299" t="s">
        <v>12</v>
      </c>
      <c r="D299">
        <v>230</v>
      </c>
      <c r="E299">
        <v>18</v>
      </c>
      <c r="F299" t="s">
        <v>10</v>
      </c>
      <c r="G299">
        <v>30</v>
      </c>
      <c r="H299" t="s">
        <v>25</v>
      </c>
      <c r="I299">
        <f>(480 - Tabla1[Minutos_Paro]) / 60</f>
        <v>7.5</v>
      </c>
      <c r="J299" t="str">
        <f>IF(Tabla1[Unidades_Defectuosas] &gt; Tabla1[Unidades_Producidas], "ERROR", "OK")</f>
        <v>OK</v>
      </c>
      <c r="K299" s="1">
        <f>Tabla1[Minutos_Paro] / Tabla1[Unidades_Producidas]</f>
        <v>0.13043478260869565</v>
      </c>
      <c r="L299">
        <f>Tabla1[Unidades_Producidas] - Tabla1[Unidades_Defectuosas]</f>
        <v>212</v>
      </c>
      <c r="M299" s="3" t="str">
        <f>IF(Tabla1[Minutos_Paro]=0,"Nula",IF(Tabla1[Minutos_Paro]&lt;30,"Baja",IF(Tabla1[Minutos_Paro]&lt;60,"Media","Alta")))</f>
        <v>Media</v>
      </c>
      <c r="N299" s="3">
        <f>250</f>
        <v>250</v>
      </c>
      <c r="O299" s="4">
        <f>Tabla1[Unidades_Defectuosas] / Tabla1[Unidades_Producidas]</f>
        <v>7.8260869565217397E-2</v>
      </c>
      <c r="P299" s="4">
        <f>Tabla1[Unidades_Buenas] / Tabla1[Unidades_Producidas]</f>
        <v>0.92173913043478262</v>
      </c>
      <c r="Q299" s="3">
        <f>IF(Tabla1[Tipo_Defecto_Principal]="Falla de material", 3, IF(Tabla1[Tipo_Defecto_Principal]="Dimensión fuera de especificación", 2, 1))</f>
        <v>2</v>
      </c>
    </row>
    <row r="300" spans="1:17" x14ac:dyDescent="0.3">
      <c r="A300" s="2">
        <v>45224</v>
      </c>
      <c r="B300" t="s">
        <v>19</v>
      </c>
      <c r="C300" t="s">
        <v>13</v>
      </c>
      <c r="D300">
        <v>216</v>
      </c>
      <c r="E300">
        <v>11</v>
      </c>
      <c r="F300" t="s">
        <v>10</v>
      </c>
      <c r="G300">
        <v>0</v>
      </c>
      <c r="H300" t="s">
        <v>26</v>
      </c>
      <c r="I300">
        <f>(480 - Tabla1[Minutos_Paro]) / 60</f>
        <v>8</v>
      </c>
      <c r="J300" t="str">
        <f>IF(Tabla1[Unidades_Defectuosas] &gt; Tabla1[Unidades_Producidas], "ERROR", "OK")</f>
        <v>OK</v>
      </c>
      <c r="K300" s="1">
        <f>Tabla1[Minutos_Paro] / Tabla1[Unidades_Producidas]</f>
        <v>0</v>
      </c>
      <c r="L300">
        <f>Tabla1[Unidades_Producidas] - Tabla1[Unidades_Defectuosas]</f>
        <v>205</v>
      </c>
      <c r="M300" s="3" t="str">
        <f>IF(Tabla1[Minutos_Paro]=0,"Nula",IF(Tabla1[Minutos_Paro]&lt;30,"Baja",IF(Tabla1[Minutos_Paro]&lt;60,"Media","Alta")))</f>
        <v>Nula</v>
      </c>
      <c r="N300" s="3">
        <f>250</f>
        <v>250</v>
      </c>
      <c r="O300" s="4">
        <f>Tabla1[Unidades_Defectuosas] / Tabla1[Unidades_Producidas]</f>
        <v>5.0925925925925923E-2</v>
      </c>
      <c r="P300" s="4">
        <f>Tabla1[Unidades_Buenas] / Tabla1[Unidades_Producidas]</f>
        <v>0.94907407407407407</v>
      </c>
      <c r="Q300" s="3">
        <f>IF(Tabla1[Tipo_Defecto_Principal]="Falla de material", 3, IF(Tabla1[Tipo_Defecto_Principal]="Dimensión fuera de especificación", 2, 1))</f>
        <v>2</v>
      </c>
    </row>
    <row r="301" spans="1:17" x14ac:dyDescent="0.3">
      <c r="A301" s="2">
        <v>45224</v>
      </c>
      <c r="B301" t="s">
        <v>19</v>
      </c>
      <c r="C301" t="s">
        <v>15</v>
      </c>
      <c r="D301">
        <v>228</v>
      </c>
      <c r="E301">
        <v>7</v>
      </c>
      <c r="F301" t="s">
        <v>18</v>
      </c>
      <c r="G301">
        <v>0</v>
      </c>
      <c r="H301" t="s">
        <v>26</v>
      </c>
      <c r="I301">
        <f>(480 - Tabla1[Minutos_Paro]) / 60</f>
        <v>8</v>
      </c>
      <c r="J301" t="str">
        <f>IF(Tabla1[Unidades_Defectuosas] &gt; Tabla1[Unidades_Producidas], "ERROR", "OK")</f>
        <v>OK</v>
      </c>
      <c r="K301" s="1">
        <f>Tabla1[Minutos_Paro] / Tabla1[Unidades_Producidas]</f>
        <v>0</v>
      </c>
      <c r="L301">
        <f>Tabla1[Unidades_Producidas] - Tabla1[Unidades_Defectuosas]</f>
        <v>221</v>
      </c>
      <c r="M301" s="3" t="str">
        <f>IF(Tabla1[Minutos_Paro]=0,"Nula",IF(Tabla1[Minutos_Paro]&lt;30,"Baja",IF(Tabla1[Minutos_Paro]&lt;60,"Media","Alta")))</f>
        <v>Nula</v>
      </c>
      <c r="N301" s="3">
        <f>250</f>
        <v>250</v>
      </c>
      <c r="O301" s="4">
        <f>Tabla1[Unidades_Defectuosas] / Tabla1[Unidades_Producidas]</f>
        <v>3.0701754385964911E-2</v>
      </c>
      <c r="P301" s="4">
        <f>Tabla1[Unidades_Buenas] / Tabla1[Unidades_Producidas]</f>
        <v>0.9692982456140351</v>
      </c>
      <c r="Q301" s="3">
        <f>IF(Tabla1[Tipo_Defecto_Principal]="Falla de material", 3, IF(Tabla1[Tipo_Defecto_Principal]="Dimensión fuera de especificación", 2, 1))</f>
        <v>1</v>
      </c>
    </row>
    <row r="302" spans="1:17" x14ac:dyDescent="0.3">
      <c r="A302" s="2">
        <v>45225</v>
      </c>
      <c r="B302" t="s">
        <v>8</v>
      </c>
      <c r="C302" t="s">
        <v>9</v>
      </c>
      <c r="D302">
        <v>200</v>
      </c>
      <c r="E302">
        <v>7</v>
      </c>
      <c r="F302" t="s">
        <v>20</v>
      </c>
      <c r="G302">
        <v>0</v>
      </c>
      <c r="H302" t="s">
        <v>26</v>
      </c>
      <c r="I302">
        <f>(480 - Tabla1[Minutos_Paro]) / 60</f>
        <v>8</v>
      </c>
      <c r="J302" t="str">
        <f>IF(Tabla1[Unidades_Defectuosas] &gt; Tabla1[Unidades_Producidas], "ERROR", "OK")</f>
        <v>OK</v>
      </c>
      <c r="K302" s="1">
        <f>Tabla1[Minutos_Paro] / Tabla1[Unidades_Producidas]</f>
        <v>0</v>
      </c>
      <c r="L302">
        <f>Tabla1[Unidades_Producidas] - Tabla1[Unidades_Defectuosas]</f>
        <v>193</v>
      </c>
      <c r="M302" s="3" t="str">
        <f>IF(Tabla1[Minutos_Paro]=0,"Nula",IF(Tabla1[Minutos_Paro]&lt;30,"Baja",IF(Tabla1[Minutos_Paro]&lt;60,"Media","Alta")))</f>
        <v>Nula</v>
      </c>
      <c r="N302" s="3">
        <f>250</f>
        <v>250</v>
      </c>
      <c r="O302" s="4">
        <f>Tabla1[Unidades_Defectuosas] / Tabla1[Unidades_Producidas]</f>
        <v>3.5000000000000003E-2</v>
      </c>
      <c r="P302" s="4">
        <f>Tabla1[Unidades_Buenas] / Tabla1[Unidades_Producidas]</f>
        <v>0.96499999999999997</v>
      </c>
      <c r="Q302" s="3">
        <f>IF(Tabla1[Tipo_Defecto_Principal]="Falla de material", 3, IF(Tabla1[Tipo_Defecto_Principal]="Dimensión fuera de especificación", 2, 1))</f>
        <v>1</v>
      </c>
    </row>
    <row r="303" spans="1:17" x14ac:dyDescent="0.3">
      <c r="A303" s="2">
        <v>45225</v>
      </c>
      <c r="B303" t="s">
        <v>8</v>
      </c>
      <c r="C303" t="s">
        <v>12</v>
      </c>
      <c r="D303">
        <v>196</v>
      </c>
      <c r="E303">
        <v>19</v>
      </c>
      <c r="F303" t="s">
        <v>10</v>
      </c>
      <c r="G303">
        <v>0</v>
      </c>
      <c r="H303" t="s">
        <v>26</v>
      </c>
      <c r="I303">
        <f>(480 - Tabla1[Minutos_Paro]) / 60</f>
        <v>8</v>
      </c>
      <c r="J303" t="str">
        <f>IF(Tabla1[Unidades_Defectuosas] &gt; Tabla1[Unidades_Producidas], "ERROR", "OK")</f>
        <v>OK</v>
      </c>
      <c r="K303" s="1">
        <f>Tabla1[Minutos_Paro] / Tabla1[Unidades_Producidas]</f>
        <v>0</v>
      </c>
      <c r="L303">
        <f>Tabla1[Unidades_Producidas] - Tabla1[Unidades_Defectuosas]</f>
        <v>177</v>
      </c>
      <c r="M303" s="3" t="str">
        <f>IF(Tabla1[Minutos_Paro]=0,"Nula",IF(Tabla1[Minutos_Paro]&lt;30,"Baja",IF(Tabla1[Minutos_Paro]&lt;60,"Media","Alta")))</f>
        <v>Nula</v>
      </c>
      <c r="N303" s="3">
        <f>250</f>
        <v>250</v>
      </c>
      <c r="O303" s="4">
        <f>Tabla1[Unidades_Defectuosas] / Tabla1[Unidades_Producidas]</f>
        <v>9.6938775510204078E-2</v>
      </c>
      <c r="P303" s="4">
        <f>Tabla1[Unidades_Buenas] / Tabla1[Unidades_Producidas]</f>
        <v>0.90306122448979587</v>
      </c>
      <c r="Q303" s="3">
        <f>IF(Tabla1[Tipo_Defecto_Principal]="Falla de material", 3, IF(Tabla1[Tipo_Defecto_Principal]="Dimensión fuera de especificación", 2, 1))</f>
        <v>2</v>
      </c>
    </row>
    <row r="304" spans="1:17" x14ac:dyDescent="0.3">
      <c r="A304" s="2">
        <v>45225</v>
      </c>
      <c r="B304" t="s">
        <v>8</v>
      </c>
      <c r="C304" t="s">
        <v>13</v>
      </c>
      <c r="D304">
        <v>203</v>
      </c>
      <c r="E304">
        <v>3</v>
      </c>
      <c r="F304" t="s">
        <v>14</v>
      </c>
      <c r="G304">
        <v>0</v>
      </c>
      <c r="H304" t="s">
        <v>26</v>
      </c>
      <c r="I304">
        <f>(480 - Tabla1[Minutos_Paro]) / 60</f>
        <v>8</v>
      </c>
      <c r="J304" t="str">
        <f>IF(Tabla1[Unidades_Defectuosas] &gt; Tabla1[Unidades_Producidas], "ERROR", "OK")</f>
        <v>OK</v>
      </c>
      <c r="K304" s="1">
        <f>Tabla1[Minutos_Paro] / Tabla1[Unidades_Producidas]</f>
        <v>0</v>
      </c>
      <c r="L304">
        <f>Tabla1[Unidades_Producidas] - Tabla1[Unidades_Defectuosas]</f>
        <v>200</v>
      </c>
      <c r="M304" s="3" t="str">
        <f>IF(Tabla1[Minutos_Paro]=0,"Nula",IF(Tabla1[Minutos_Paro]&lt;30,"Baja",IF(Tabla1[Minutos_Paro]&lt;60,"Media","Alta")))</f>
        <v>Nula</v>
      </c>
      <c r="N304" s="3">
        <f>250</f>
        <v>250</v>
      </c>
      <c r="O304" s="4">
        <f>Tabla1[Unidades_Defectuosas] / Tabla1[Unidades_Producidas]</f>
        <v>1.4778325123152709E-2</v>
      </c>
      <c r="P304" s="4">
        <f>Tabla1[Unidades_Buenas] / Tabla1[Unidades_Producidas]</f>
        <v>0.98522167487684731</v>
      </c>
      <c r="Q304" s="3">
        <f>IF(Tabla1[Tipo_Defecto_Principal]="Falla de material", 3, IF(Tabla1[Tipo_Defecto_Principal]="Dimensión fuera de especificación", 2, 1))</f>
        <v>3</v>
      </c>
    </row>
    <row r="305" spans="1:17" x14ac:dyDescent="0.3">
      <c r="A305" s="2">
        <v>45225</v>
      </c>
      <c r="B305" t="s">
        <v>8</v>
      </c>
      <c r="C305" t="s">
        <v>15</v>
      </c>
      <c r="D305">
        <v>215</v>
      </c>
      <c r="E305">
        <v>6</v>
      </c>
      <c r="F305" t="s">
        <v>16</v>
      </c>
      <c r="G305">
        <v>0</v>
      </c>
      <c r="H305" t="s">
        <v>26</v>
      </c>
      <c r="I305">
        <f>(480 - Tabla1[Minutos_Paro]) / 60</f>
        <v>8</v>
      </c>
      <c r="J305" t="str">
        <f>IF(Tabla1[Unidades_Defectuosas] &gt; Tabla1[Unidades_Producidas], "ERROR", "OK")</f>
        <v>OK</v>
      </c>
      <c r="K305" s="1">
        <f>Tabla1[Minutos_Paro] / Tabla1[Unidades_Producidas]</f>
        <v>0</v>
      </c>
      <c r="L305">
        <f>Tabla1[Unidades_Producidas] - Tabla1[Unidades_Defectuosas]</f>
        <v>209</v>
      </c>
      <c r="M305" s="3" t="str">
        <f>IF(Tabla1[Minutos_Paro]=0,"Nula",IF(Tabla1[Minutos_Paro]&lt;30,"Baja",IF(Tabla1[Minutos_Paro]&lt;60,"Media","Alta")))</f>
        <v>Nula</v>
      </c>
      <c r="N305" s="3">
        <f>250</f>
        <v>250</v>
      </c>
      <c r="O305" s="4">
        <f>Tabla1[Unidades_Defectuosas] / Tabla1[Unidades_Producidas]</f>
        <v>2.7906976744186046E-2</v>
      </c>
      <c r="P305" s="4">
        <f>Tabla1[Unidades_Buenas] / Tabla1[Unidades_Producidas]</f>
        <v>0.97209302325581393</v>
      </c>
      <c r="Q305" s="3">
        <f>IF(Tabla1[Tipo_Defecto_Principal]="Falla de material", 3, IF(Tabla1[Tipo_Defecto_Principal]="Dimensión fuera de especificación", 2, 1))</f>
        <v>1</v>
      </c>
    </row>
    <row r="306" spans="1:17" x14ac:dyDescent="0.3">
      <c r="A306" s="2">
        <v>45225</v>
      </c>
      <c r="B306" t="s">
        <v>17</v>
      </c>
      <c r="C306" t="s">
        <v>9</v>
      </c>
      <c r="D306">
        <v>184</v>
      </c>
      <c r="E306">
        <v>9</v>
      </c>
      <c r="F306" t="s">
        <v>20</v>
      </c>
      <c r="G306">
        <v>0</v>
      </c>
      <c r="H306" t="s">
        <v>26</v>
      </c>
      <c r="I306">
        <f>(480 - Tabla1[Minutos_Paro]) / 60</f>
        <v>8</v>
      </c>
      <c r="J306" t="str">
        <f>IF(Tabla1[Unidades_Defectuosas] &gt; Tabla1[Unidades_Producidas], "ERROR", "OK")</f>
        <v>OK</v>
      </c>
      <c r="K306" s="1">
        <f>Tabla1[Minutos_Paro] / Tabla1[Unidades_Producidas]</f>
        <v>0</v>
      </c>
      <c r="L306">
        <f>Tabla1[Unidades_Producidas] - Tabla1[Unidades_Defectuosas]</f>
        <v>175</v>
      </c>
      <c r="M306" s="3" t="str">
        <f>IF(Tabla1[Minutos_Paro]=0,"Nula",IF(Tabla1[Minutos_Paro]&lt;30,"Baja",IF(Tabla1[Minutos_Paro]&lt;60,"Media","Alta")))</f>
        <v>Nula</v>
      </c>
      <c r="N306" s="3">
        <f>250</f>
        <v>250</v>
      </c>
      <c r="O306" s="4">
        <f>Tabla1[Unidades_Defectuosas] / Tabla1[Unidades_Producidas]</f>
        <v>4.8913043478260872E-2</v>
      </c>
      <c r="P306" s="4">
        <f>Tabla1[Unidades_Buenas] / Tabla1[Unidades_Producidas]</f>
        <v>0.95108695652173914</v>
      </c>
      <c r="Q306" s="3">
        <f>IF(Tabla1[Tipo_Defecto_Principal]="Falla de material", 3, IF(Tabla1[Tipo_Defecto_Principal]="Dimensión fuera de especificación", 2, 1))</f>
        <v>1</v>
      </c>
    </row>
    <row r="307" spans="1:17" x14ac:dyDescent="0.3">
      <c r="A307" s="2">
        <v>45225</v>
      </c>
      <c r="B307" t="s">
        <v>17</v>
      </c>
      <c r="C307" t="s">
        <v>12</v>
      </c>
      <c r="D307">
        <v>212</v>
      </c>
      <c r="E307">
        <v>18</v>
      </c>
      <c r="F307" t="s">
        <v>10</v>
      </c>
      <c r="G307">
        <v>0</v>
      </c>
      <c r="H307" t="s">
        <v>26</v>
      </c>
      <c r="I307">
        <f>(480 - Tabla1[Minutos_Paro]) / 60</f>
        <v>8</v>
      </c>
      <c r="J307" t="str">
        <f>IF(Tabla1[Unidades_Defectuosas] &gt; Tabla1[Unidades_Producidas], "ERROR", "OK")</f>
        <v>OK</v>
      </c>
      <c r="K307" s="1">
        <f>Tabla1[Minutos_Paro] / Tabla1[Unidades_Producidas]</f>
        <v>0</v>
      </c>
      <c r="L307">
        <f>Tabla1[Unidades_Producidas] - Tabla1[Unidades_Defectuosas]</f>
        <v>194</v>
      </c>
      <c r="M307" s="3" t="str">
        <f>IF(Tabla1[Minutos_Paro]=0,"Nula",IF(Tabla1[Minutos_Paro]&lt;30,"Baja",IF(Tabla1[Minutos_Paro]&lt;60,"Media","Alta")))</f>
        <v>Nula</v>
      </c>
      <c r="N307" s="3">
        <f>250</f>
        <v>250</v>
      </c>
      <c r="O307" s="4">
        <f>Tabla1[Unidades_Defectuosas] / Tabla1[Unidades_Producidas]</f>
        <v>8.4905660377358486E-2</v>
      </c>
      <c r="P307" s="4">
        <f>Tabla1[Unidades_Buenas] / Tabla1[Unidades_Producidas]</f>
        <v>0.91509433962264153</v>
      </c>
      <c r="Q307" s="3">
        <f>IF(Tabla1[Tipo_Defecto_Principal]="Falla de material", 3, IF(Tabla1[Tipo_Defecto_Principal]="Dimensión fuera de especificación", 2, 1))</f>
        <v>2</v>
      </c>
    </row>
    <row r="308" spans="1:17" x14ac:dyDescent="0.3">
      <c r="A308" s="2">
        <v>45225</v>
      </c>
      <c r="B308" t="s">
        <v>17</v>
      </c>
      <c r="C308" t="s">
        <v>13</v>
      </c>
      <c r="D308">
        <v>243</v>
      </c>
      <c r="E308">
        <v>11</v>
      </c>
      <c r="F308" t="s">
        <v>16</v>
      </c>
      <c r="G308">
        <v>0</v>
      </c>
      <c r="H308" t="s">
        <v>26</v>
      </c>
      <c r="I308">
        <f>(480 - Tabla1[Minutos_Paro]) / 60</f>
        <v>8</v>
      </c>
      <c r="J308" t="str">
        <f>IF(Tabla1[Unidades_Defectuosas] &gt; Tabla1[Unidades_Producidas], "ERROR", "OK")</f>
        <v>OK</v>
      </c>
      <c r="K308" s="1">
        <f>Tabla1[Minutos_Paro] / Tabla1[Unidades_Producidas]</f>
        <v>0</v>
      </c>
      <c r="L308">
        <f>Tabla1[Unidades_Producidas] - Tabla1[Unidades_Defectuosas]</f>
        <v>232</v>
      </c>
      <c r="M308" s="3" t="str">
        <f>IF(Tabla1[Minutos_Paro]=0,"Nula",IF(Tabla1[Minutos_Paro]&lt;30,"Baja",IF(Tabla1[Minutos_Paro]&lt;60,"Media","Alta")))</f>
        <v>Nula</v>
      </c>
      <c r="N308" s="3">
        <f>250</f>
        <v>250</v>
      </c>
      <c r="O308" s="4">
        <f>Tabla1[Unidades_Defectuosas] / Tabla1[Unidades_Producidas]</f>
        <v>4.5267489711934158E-2</v>
      </c>
      <c r="P308" s="4">
        <f>Tabla1[Unidades_Buenas] / Tabla1[Unidades_Producidas]</f>
        <v>0.95473251028806583</v>
      </c>
      <c r="Q308" s="3">
        <f>IF(Tabla1[Tipo_Defecto_Principal]="Falla de material", 3, IF(Tabla1[Tipo_Defecto_Principal]="Dimensión fuera de especificación", 2, 1))</f>
        <v>1</v>
      </c>
    </row>
    <row r="309" spans="1:17" x14ac:dyDescent="0.3">
      <c r="A309" s="2">
        <v>45225</v>
      </c>
      <c r="B309" t="s">
        <v>17</v>
      </c>
      <c r="C309" t="s">
        <v>15</v>
      </c>
      <c r="D309">
        <v>198</v>
      </c>
      <c r="E309">
        <v>2</v>
      </c>
      <c r="F309" t="s">
        <v>18</v>
      </c>
      <c r="G309">
        <v>60</v>
      </c>
      <c r="H309" t="s">
        <v>25</v>
      </c>
      <c r="I309">
        <f>(480 - Tabla1[Minutos_Paro]) / 60</f>
        <v>7</v>
      </c>
      <c r="J309" t="str">
        <f>IF(Tabla1[Unidades_Defectuosas] &gt; Tabla1[Unidades_Producidas], "ERROR", "OK")</f>
        <v>OK</v>
      </c>
      <c r="K309" s="1">
        <f>Tabla1[Minutos_Paro] / Tabla1[Unidades_Producidas]</f>
        <v>0.30303030303030304</v>
      </c>
      <c r="L309">
        <f>Tabla1[Unidades_Producidas] - Tabla1[Unidades_Defectuosas]</f>
        <v>196</v>
      </c>
      <c r="M309" s="3" t="str">
        <f>IF(Tabla1[Minutos_Paro]=0,"Nula",IF(Tabla1[Minutos_Paro]&lt;30,"Baja",IF(Tabla1[Minutos_Paro]&lt;60,"Media","Alta")))</f>
        <v>Alta</v>
      </c>
      <c r="N309" s="3">
        <f>250</f>
        <v>250</v>
      </c>
      <c r="O309" s="4">
        <f>Tabla1[Unidades_Defectuosas] / Tabla1[Unidades_Producidas]</f>
        <v>1.0101010101010102E-2</v>
      </c>
      <c r="P309" s="4">
        <f>Tabla1[Unidades_Buenas] / Tabla1[Unidades_Producidas]</f>
        <v>0.98989898989898994</v>
      </c>
      <c r="Q309" s="3">
        <f>IF(Tabla1[Tipo_Defecto_Principal]="Falla de material", 3, IF(Tabla1[Tipo_Defecto_Principal]="Dimensión fuera de especificación", 2, 1))</f>
        <v>1</v>
      </c>
    </row>
    <row r="310" spans="1:17" x14ac:dyDescent="0.3">
      <c r="A310" s="2">
        <v>45225</v>
      </c>
      <c r="B310" t="s">
        <v>19</v>
      </c>
      <c r="C310" t="s">
        <v>9</v>
      </c>
      <c r="D310">
        <v>210</v>
      </c>
      <c r="E310">
        <v>9</v>
      </c>
      <c r="F310" t="s">
        <v>10</v>
      </c>
      <c r="G310">
        <v>0</v>
      </c>
      <c r="H310" t="s">
        <v>26</v>
      </c>
      <c r="I310">
        <f>(480 - Tabla1[Minutos_Paro]) / 60</f>
        <v>8</v>
      </c>
      <c r="J310" t="str">
        <f>IF(Tabla1[Unidades_Defectuosas] &gt; Tabla1[Unidades_Producidas], "ERROR", "OK")</f>
        <v>OK</v>
      </c>
      <c r="K310" s="1">
        <f>Tabla1[Minutos_Paro] / Tabla1[Unidades_Producidas]</f>
        <v>0</v>
      </c>
      <c r="L310">
        <f>Tabla1[Unidades_Producidas] - Tabla1[Unidades_Defectuosas]</f>
        <v>201</v>
      </c>
      <c r="M310" s="3" t="str">
        <f>IF(Tabla1[Minutos_Paro]=0,"Nula",IF(Tabla1[Minutos_Paro]&lt;30,"Baja",IF(Tabla1[Minutos_Paro]&lt;60,"Media","Alta")))</f>
        <v>Nula</v>
      </c>
      <c r="N310" s="3">
        <f>250</f>
        <v>250</v>
      </c>
      <c r="O310" s="4">
        <f>Tabla1[Unidades_Defectuosas] / Tabla1[Unidades_Producidas]</f>
        <v>4.2857142857142858E-2</v>
      </c>
      <c r="P310" s="4">
        <f>Tabla1[Unidades_Buenas] / Tabla1[Unidades_Producidas]</f>
        <v>0.95714285714285718</v>
      </c>
      <c r="Q310" s="3">
        <f>IF(Tabla1[Tipo_Defecto_Principal]="Falla de material", 3, IF(Tabla1[Tipo_Defecto_Principal]="Dimensión fuera de especificación", 2, 1))</f>
        <v>2</v>
      </c>
    </row>
    <row r="311" spans="1:17" x14ac:dyDescent="0.3">
      <c r="A311" s="2">
        <v>45225</v>
      </c>
      <c r="B311" t="s">
        <v>19</v>
      </c>
      <c r="C311" t="s">
        <v>12</v>
      </c>
      <c r="D311">
        <v>209</v>
      </c>
      <c r="E311">
        <v>27</v>
      </c>
      <c r="F311" t="s">
        <v>10</v>
      </c>
      <c r="G311">
        <v>120</v>
      </c>
      <c r="H311" t="s">
        <v>23</v>
      </c>
      <c r="I311">
        <f>(480 - Tabla1[Minutos_Paro]) / 60</f>
        <v>6</v>
      </c>
      <c r="J311" t="str">
        <f>IF(Tabla1[Unidades_Defectuosas] &gt; Tabla1[Unidades_Producidas], "ERROR", "OK")</f>
        <v>OK</v>
      </c>
      <c r="K311" s="1">
        <f>Tabla1[Minutos_Paro] / Tabla1[Unidades_Producidas]</f>
        <v>0.57416267942583732</v>
      </c>
      <c r="L311">
        <f>Tabla1[Unidades_Producidas] - Tabla1[Unidades_Defectuosas]</f>
        <v>182</v>
      </c>
      <c r="M311" s="3" t="str">
        <f>IF(Tabla1[Minutos_Paro]=0,"Nula",IF(Tabla1[Minutos_Paro]&lt;30,"Baja",IF(Tabla1[Minutos_Paro]&lt;60,"Media","Alta")))</f>
        <v>Alta</v>
      </c>
      <c r="N311" s="3">
        <f>250</f>
        <v>250</v>
      </c>
      <c r="O311" s="4">
        <f>Tabla1[Unidades_Defectuosas] / Tabla1[Unidades_Producidas]</f>
        <v>0.12918660287081341</v>
      </c>
      <c r="P311" s="4">
        <f>Tabla1[Unidades_Buenas] / Tabla1[Unidades_Producidas]</f>
        <v>0.87081339712918659</v>
      </c>
      <c r="Q311" s="3">
        <f>IF(Tabla1[Tipo_Defecto_Principal]="Falla de material", 3, IF(Tabla1[Tipo_Defecto_Principal]="Dimensión fuera de especificación", 2, 1))</f>
        <v>2</v>
      </c>
    </row>
    <row r="312" spans="1:17" x14ac:dyDescent="0.3">
      <c r="A312" s="2">
        <v>45225</v>
      </c>
      <c r="B312" t="s">
        <v>19</v>
      </c>
      <c r="C312" t="s">
        <v>13</v>
      </c>
      <c r="D312">
        <v>209</v>
      </c>
      <c r="E312">
        <v>4</v>
      </c>
      <c r="F312" t="s">
        <v>16</v>
      </c>
      <c r="G312">
        <v>0</v>
      </c>
      <c r="H312" t="s">
        <v>26</v>
      </c>
      <c r="I312">
        <f>(480 - Tabla1[Minutos_Paro]) / 60</f>
        <v>8</v>
      </c>
      <c r="J312" t="str">
        <f>IF(Tabla1[Unidades_Defectuosas] &gt; Tabla1[Unidades_Producidas], "ERROR", "OK")</f>
        <v>OK</v>
      </c>
      <c r="K312" s="1">
        <f>Tabla1[Minutos_Paro] / Tabla1[Unidades_Producidas]</f>
        <v>0</v>
      </c>
      <c r="L312">
        <f>Tabla1[Unidades_Producidas] - Tabla1[Unidades_Defectuosas]</f>
        <v>205</v>
      </c>
      <c r="M312" s="3" t="str">
        <f>IF(Tabla1[Minutos_Paro]=0,"Nula",IF(Tabla1[Minutos_Paro]&lt;30,"Baja",IF(Tabla1[Minutos_Paro]&lt;60,"Media","Alta")))</f>
        <v>Nula</v>
      </c>
      <c r="N312" s="3">
        <f>250</f>
        <v>250</v>
      </c>
      <c r="O312" s="4">
        <f>Tabla1[Unidades_Defectuosas] / Tabla1[Unidades_Producidas]</f>
        <v>1.9138755980861243E-2</v>
      </c>
      <c r="P312" s="4">
        <f>Tabla1[Unidades_Buenas] / Tabla1[Unidades_Producidas]</f>
        <v>0.98086124401913877</v>
      </c>
      <c r="Q312" s="3">
        <f>IF(Tabla1[Tipo_Defecto_Principal]="Falla de material", 3, IF(Tabla1[Tipo_Defecto_Principal]="Dimensión fuera de especificación", 2, 1))</f>
        <v>1</v>
      </c>
    </row>
    <row r="313" spans="1:17" x14ac:dyDescent="0.3">
      <c r="A313" s="2">
        <v>45225</v>
      </c>
      <c r="B313" t="s">
        <v>19</v>
      </c>
      <c r="C313" t="s">
        <v>15</v>
      </c>
      <c r="D313">
        <v>184</v>
      </c>
      <c r="E313">
        <v>7</v>
      </c>
      <c r="F313" t="s">
        <v>10</v>
      </c>
      <c r="G313">
        <v>0</v>
      </c>
      <c r="H313" t="s">
        <v>26</v>
      </c>
      <c r="I313">
        <f>(480 - Tabla1[Minutos_Paro]) / 60</f>
        <v>8</v>
      </c>
      <c r="J313" t="str">
        <f>IF(Tabla1[Unidades_Defectuosas] &gt; Tabla1[Unidades_Producidas], "ERROR", "OK")</f>
        <v>OK</v>
      </c>
      <c r="K313" s="1">
        <f>Tabla1[Minutos_Paro] / Tabla1[Unidades_Producidas]</f>
        <v>0</v>
      </c>
      <c r="L313">
        <f>Tabla1[Unidades_Producidas] - Tabla1[Unidades_Defectuosas]</f>
        <v>177</v>
      </c>
      <c r="M313" s="3" t="str">
        <f>IF(Tabla1[Minutos_Paro]=0,"Nula",IF(Tabla1[Minutos_Paro]&lt;30,"Baja",IF(Tabla1[Minutos_Paro]&lt;60,"Media","Alta")))</f>
        <v>Nula</v>
      </c>
      <c r="N313" s="3">
        <f>250</f>
        <v>250</v>
      </c>
      <c r="O313" s="4">
        <f>Tabla1[Unidades_Defectuosas] / Tabla1[Unidades_Producidas]</f>
        <v>3.8043478260869568E-2</v>
      </c>
      <c r="P313" s="4">
        <f>Tabla1[Unidades_Buenas] / Tabla1[Unidades_Producidas]</f>
        <v>0.96195652173913049</v>
      </c>
      <c r="Q313" s="3">
        <f>IF(Tabla1[Tipo_Defecto_Principal]="Falla de material", 3, IF(Tabla1[Tipo_Defecto_Principal]="Dimensión fuera de especificación", 2, 1))</f>
        <v>2</v>
      </c>
    </row>
    <row r="314" spans="1:17" x14ac:dyDescent="0.3">
      <c r="A314" s="2">
        <v>45226</v>
      </c>
      <c r="B314" t="s">
        <v>8</v>
      </c>
      <c r="C314" t="s">
        <v>9</v>
      </c>
      <c r="D314">
        <v>182</v>
      </c>
      <c r="E314">
        <v>3</v>
      </c>
      <c r="F314" t="s">
        <v>10</v>
      </c>
      <c r="G314">
        <v>0</v>
      </c>
      <c r="H314" t="s">
        <v>26</v>
      </c>
      <c r="I314">
        <f>(480 - Tabla1[Minutos_Paro]) / 60</f>
        <v>8</v>
      </c>
      <c r="J314" t="str">
        <f>IF(Tabla1[Unidades_Defectuosas] &gt; Tabla1[Unidades_Producidas], "ERROR", "OK")</f>
        <v>OK</v>
      </c>
      <c r="K314" s="1">
        <f>Tabla1[Minutos_Paro] / Tabla1[Unidades_Producidas]</f>
        <v>0</v>
      </c>
      <c r="L314">
        <f>Tabla1[Unidades_Producidas] - Tabla1[Unidades_Defectuosas]</f>
        <v>179</v>
      </c>
      <c r="M314" s="3" t="str">
        <f>IF(Tabla1[Minutos_Paro]=0,"Nula",IF(Tabla1[Minutos_Paro]&lt;30,"Baja",IF(Tabla1[Minutos_Paro]&lt;60,"Media","Alta")))</f>
        <v>Nula</v>
      </c>
      <c r="N314" s="3">
        <f>250</f>
        <v>250</v>
      </c>
      <c r="O314" s="4">
        <f>Tabla1[Unidades_Defectuosas] / Tabla1[Unidades_Producidas]</f>
        <v>1.6483516483516484E-2</v>
      </c>
      <c r="P314" s="4">
        <f>Tabla1[Unidades_Buenas] / Tabla1[Unidades_Producidas]</f>
        <v>0.98351648351648346</v>
      </c>
      <c r="Q314" s="3">
        <f>IF(Tabla1[Tipo_Defecto_Principal]="Falla de material", 3, IF(Tabla1[Tipo_Defecto_Principal]="Dimensión fuera de especificación", 2, 1))</f>
        <v>2</v>
      </c>
    </row>
    <row r="315" spans="1:17" x14ac:dyDescent="0.3">
      <c r="A315" s="2">
        <v>45226</v>
      </c>
      <c r="B315" t="s">
        <v>8</v>
      </c>
      <c r="C315" t="s">
        <v>12</v>
      </c>
      <c r="D315">
        <v>195</v>
      </c>
      <c r="E315">
        <v>18</v>
      </c>
      <c r="F315" t="s">
        <v>20</v>
      </c>
      <c r="G315">
        <v>15</v>
      </c>
      <c r="H315" t="s">
        <v>11</v>
      </c>
      <c r="I315">
        <f>(480 - Tabla1[Minutos_Paro]) / 60</f>
        <v>7.75</v>
      </c>
      <c r="J315" t="str">
        <f>IF(Tabla1[Unidades_Defectuosas] &gt; Tabla1[Unidades_Producidas], "ERROR", "OK")</f>
        <v>OK</v>
      </c>
      <c r="K315" s="1">
        <f>Tabla1[Minutos_Paro] / Tabla1[Unidades_Producidas]</f>
        <v>7.6923076923076927E-2</v>
      </c>
      <c r="L315">
        <f>Tabla1[Unidades_Producidas] - Tabla1[Unidades_Defectuosas]</f>
        <v>177</v>
      </c>
      <c r="M315" s="3" t="str">
        <f>IF(Tabla1[Minutos_Paro]=0,"Nula",IF(Tabla1[Minutos_Paro]&lt;30,"Baja",IF(Tabla1[Minutos_Paro]&lt;60,"Media","Alta")))</f>
        <v>Baja</v>
      </c>
      <c r="N315" s="3">
        <f>250</f>
        <v>250</v>
      </c>
      <c r="O315" s="4">
        <f>Tabla1[Unidades_Defectuosas] / Tabla1[Unidades_Producidas]</f>
        <v>9.2307692307692313E-2</v>
      </c>
      <c r="P315" s="4">
        <f>Tabla1[Unidades_Buenas] / Tabla1[Unidades_Producidas]</f>
        <v>0.90769230769230769</v>
      </c>
      <c r="Q315" s="3">
        <f>IF(Tabla1[Tipo_Defecto_Principal]="Falla de material", 3, IF(Tabla1[Tipo_Defecto_Principal]="Dimensión fuera de especificación", 2, 1))</f>
        <v>1</v>
      </c>
    </row>
    <row r="316" spans="1:17" x14ac:dyDescent="0.3">
      <c r="A316" s="2">
        <v>45226</v>
      </c>
      <c r="B316" t="s">
        <v>8</v>
      </c>
      <c r="C316" t="s">
        <v>13</v>
      </c>
      <c r="D316">
        <v>195</v>
      </c>
      <c r="E316">
        <v>6</v>
      </c>
      <c r="F316" t="s">
        <v>18</v>
      </c>
      <c r="G316">
        <v>0</v>
      </c>
      <c r="H316" t="s">
        <v>26</v>
      </c>
      <c r="I316">
        <f>(480 - Tabla1[Minutos_Paro]) / 60</f>
        <v>8</v>
      </c>
      <c r="J316" t="str">
        <f>IF(Tabla1[Unidades_Defectuosas] &gt; Tabla1[Unidades_Producidas], "ERROR", "OK")</f>
        <v>OK</v>
      </c>
      <c r="K316" s="1">
        <f>Tabla1[Minutos_Paro] / Tabla1[Unidades_Producidas]</f>
        <v>0</v>
      </c>
      <c r="L316">
        <f>Tabla1[Unidades_Producidas] - Tabla1[Unidades_Defectuosas]</f>
        <v>189</v>
      </c>
      <c r="M316" s="3" t="str">
        <f>IF(Tabla1[Minutos_Paro]=0,"Nula",IF(Tabla1[Minutos_Paro]&lt;30,"Baja",IF(Tabla1[Minutos_Paro]&lt;60,"Media","Alta")))</f>
        <v>Nula</v>
      </c>
      <c r="N316" s="3">
        <f>250</f>
        <v>250</v>
      </c>
      <c r="O316" s="4">
        <f>Tabla1[Unidades_Defectuosas] / Tabla1[Unidades_Producidas]</f>
        <v>3.0769230769230771E-2</v>
      </c>
      <c r="P316" s="4">
        <f>Tabla1[Unidades_Buenas] / Tabla1[Unidades_Producidas]</f>
        <v>0.96923076923076923</v>
      </c>
      <c r="Q316" s="3">
        <f>IF(Tabla1[Tipo_Defecto_Principal]="Falla de material", 3, IF(Tabla1[Tipo_Defecto_Principal]="Dimensión fuera de especificación", 2, 1))</f>
        <v>1</v>
      </c>
    </row>
    <row r="317" spans="1:17" x14ac:dyDescent="0.3">
      <c r="A317" s="2">
        <v>45226</v>
      </c>
      <c r="B317" t="s">
        <v>8</v>
      </c>
      <c r="C317" t="s">
        <v>15</v>
      </c>
      <c r="D317">
        <v>234</v>
      </c>
      <c r="E317">
        <v>9</v>
      </c>
      <c r="F317" t="s">
        <v>20</v>
      </c>
      <c r="G317">
        <v>15</v>
      </c>
      <c r="H317" t="s">
        <v>23</v>
      </c>
      <c r="I317">
        <f>(480 - Tabla1[Minutos_Paro]) / 60</f>
        <v>7.75</v>
      </c>
      <c r="J317" t="str">
        <f>IF(Tabla1[Unidades_Defectuosas] &gt; Tabla1[Unidades_Producidas], "ERROR", "OK")</f>
        <v>OK</v>
      </c>
      <c r="K317" s="1">
        <f>Tabla1[Minutos_Paro] / Tabla1[Unidades_Producidas]</f>
        <v>6.4102564102564097E-2</v>
      </c>
      <c r="L317">
        <f>Tabla1[Unidades_Producidas] - Tabla1[Unidades_Defectuosas]</f>
        <v>225</v>
      </c>
      <c r="M317" s="3" t="str">
        <f>IF(Tabla1[Minutos_Paro]=0,"Nula",IF(Tabla1[Minutos_Paro]&lt;30,"Baja",IF(Tabla1[Minutos_Paro]&lt;60,"Media","Alta")))</f>
        <v>Baja</v>
      </c>
      <c r="N317" s="3">
        <f>250</f>
        <v>250</v>
      </c>
      <c r="O317" s="4">
        <f>Tabla1[Unidades_Defectuosas] / Tabla1[Unidades_Producidas]</f>
        <v>3.8461538461538464E-2</v>
      </c>
      <c r="P317" s="4">
        <f>Tabla1[Unidades_Buenas] / Tabla1[Unidades_Producidas]</f>
        <v>0.96153846153846156</v>
      </c>
      <c r="Q317" s="3">
        <f>IF(Tabla1[Tipo_Defecto_Principal]="Falla de material", 3, IF(Tabla1[Tipo_Defecto_Principal]="Dimensión fuera de especificación", 2, 1))</f>
        <v>1</v>
      </c>
    </row>
    <row r="318" spans="1:17" x14ac:dyDescent="0.3">
      <c r="A318" s="2">
        <v>45226</v>
      </c>
      <c r="B318" t="s">
        <v>17</v>
      </c>
      <c r="C318" t="s">
        <v>9</v>
      </c>
      <c r="D318">
        <v>189</v>
      </c>
      <c r="E318">
        <v>7</v>
      </c>
      <c r="F318" t="s">
        <v>16</v>
      </c>
      <c r="G318">
        <v>0</v>
      </c>
      <c r="H318" t="s">
        <v>26</v>
      </c>
      <c r="I318">
        <f>(480 - Tabla1[Minutos_Paro]) / 60</f>
        <v>8</v>
      </c>
      <c r="J318" t="str">
        <f>IF(Tabla1[Unidades_Defectuosas] &gt; Tabla1[Unidades_Producidas], "ERROR", "OK")</f>
        <v>OK</v>
      </c>
      <c r="K318" s="1">
        <f>Tabla1[Minutos_Paro] / Tabla1[Unidades_Producidas]</f>
        <v>0</v>
      </c>
      <c r="L318">
        <f>Tabla1[Unidades_Producidas] - Tabla1[Unidades_Defectuosas]</f>
        <v>182</v>
      </c>
      <c r="M318" s="3" t="str">
        <f>IF(Tabla1[Minutos_Paro]=0,"Nula",IF(Tabla1[Minutos_Paro]&lt;30,"Baja",IF(Tabla1[Minutos_Paro]&lt;60,"Media","Alta")))</f>
        <v>Nula</v>
      </c>
      <c r="N318" s="3">
        <f>250</f>
        <v>250</v>
      </c>
      <c r="O318" s="4">
        <f>Tabla1[Unidades_Defectuosas] / Tabla1[Unidades_Producidas]</f>
        <v>3.7037037037037035E-2</v>
      </c>
      <c r="P318" s="4">
        <f>Tabla1[Unidades_Buenas] / Tabla1[Unidades_Producidas]</f>
        <v>0.96296296296296291</v>
      </c>
      <c r="Q318" s="3">
        <f>IF(Tabla1[Tipo_Defecto_Principal]="Falla de material", 3, IF(Tabla1[Tipo_Defecto_Principal]="Dimensión fuera de especificación", 2, 1))</f>
        <v>1</v>
      </c>
    </row>
    <row r="319" spans="1:17" x14ac:dyDescent="0.3">
      <c r="A319" s="2">
        <v>45226</v>
      </c>
      <c r="B319" t="s">
        <v>17</v>
      </c>
      <c r="C319" t="s">
        <v>12</v>
      </c>
      <c r="D319">
        <v>183</v>
      </c>
      <c r="E319">
        <v>10</v>
      </c>
      <c r="F319" t="s">
        <v>18</v>
      </c>
      <c r="G319">
        <v>0</v>
      </c>
      <c r="H319" t="s">
        <v>26</v>
      </c>
      <c r="I319">
        <f>(480 - Tabla1[Minutos_Paro]) / 60</f>
        <v>8</v>
      </c>
      <c r="J319" t="str">
        <f>IF(Tabla1[Unidades_Defectuosas] &gt; Tabla1[Unidades_Producidas], "ERROR", "OK")</f>
        <v>OK</v>
      </c>
      <c r="K319" s="1">
        <f>Tabla1[Minutos_Paro] / Tabla1[Unidades_Producidas]</f>
        <v>0</v>
      </c>
      <c r="L319">
        <f>Tabla1[Unidades_Producidas] - Tabla1[Unidades_Defectuosas]</f>
        <v>173</v>
      </c>
      <c r="M319" s="3" t="str">
        <f>IF(Tabla1[Minutos_Paro]=0,"Nula",IF(Tabla1[Minutos_Paro]&lt;30,"Baja",IF(Tabla1[Minutos_Paro]&lt;60,"Media","Alta")))</f>
        <v>Nula</v>
      </c>
      <c r="N319" s="3">
        <f>250</f>
        <v>250</v>
      </c>
      <c r="O319" s="4">
        <f>Tabla1[Unidades_Defectuosas] / Tabla1[Unidades_Producidas]</f>
        <v>5.4644808743169397E-2</v>
      </c>
      <c r="P319" s="4">
        <f>Tabla1[Unidades_Buenas] / Tabla1[Unidades_Producidas]</f>
        <v>0.94535519125683065</v>
      </c>
      <c r="Q319" s="3">
        <f>IF(Tabla1[Tipo_Defecto_Principal]="Falla de material", 3, IF(Tabla1[Tipo_Defecto_Principal]="Dimensión fuera de especificación", 2, 1))</f>
        <v>1</v>
      </c>
    </row>
    <row r="320" spans="1:17" x14ac:dyDescent="0.3">
      <c r="A320" s="2">
        <v>45226</v>
      </c>
      <c r="B320" t="s">
        <v>17</v>
      </c>
      <c r="C320" t="s">
        <v>13</v>
      </c>
      <c r="D320">
        <v>210</v>
      </c>
      <c r="E320">
        <v>3</v>
      </c>
      <c r="F320" t="s">
        <v>16</v>
      </c>
      <c r="G320">
        <v>0</v>
      </c>
      <c r="H320" t="s">
        <v>26</v>
      </c>
      <c r="I320">
        <f>(480 - Tabla1[Minutos_Paro]) / 60</f>
        <v>8</v>
      </c>
      <c r="J320" t="str">
        <f>IF(Tabla1[Unidades_Defectuosas] &gt; Tabla1[Unidades_Producidas], "ERROR", "OK")</f>
        <v>OK</v>
      </c>
      <c r="K320" s="1">
        <f>Tabla1[Minutos_Paro] / Tabla1[Unidades_Producidas]</f>
        <v>0</v>
      </c>
      <c r="L320">
        <f>Tabla1[Unidades_Producidas] - Tabla1[Unidades_Defectuosas]</f>
        <v>207</v>
      </c>
      <c r="M320" s="3" t="str">
        <f>IF(Tabla1[Minutos_Paro]=0,"Nula",IF(Tabla1[Minutos_Paro]&lt;30,"Baja",IF(Tabla1[Minutos_Paro]&lt;60,"Media","Alta")))</f>
        <v>Nula</v>
      </c>
      <c r="N320" s="3">
        <f>250</f>
        <v>250</v>
      </c>
      <c r="O320" s="4">
        <f>Tabla1[Unidades_Defectuosas] / Tabla1[Unidades_Producidas]</f>
        <v>1.4285714285714285E-2</v>
      </c>
      <c r="P320" s="4">
        <f>Tabla1[Unidades_Buenas] / Tabla1[Unidades_Producidas]</f>
        <v>0.98571428571428577</v>
      </c>
      <c r="Q320" s="3">
        <f>IF(Tabla1[Tipo_Defecto_Principal]="Falla de material", 3, IF(Tabla1[Tipo_Defecto_Principal]="Dimensión fuera de especificación", 2, 1))</f>
        <v>1</v>
      </c>
    </row>
    <row r="321" spans="1:17" x14ac:dyDescent="0.3">
      <c r="A321" s="2">
        <v>45226</v>
      </c>
      <c r="B321" t="s">
        <v>17</v>
      </c>
      <c r="C321" t="s">
        <v>15</v>
      </c>
      <c r="D321">
        <v>236</v>
      </c>
      <c r="E321">
        <v>0</v>
      </c>
      <c r="F321" t="s">
        <v>22</v>
      </c>
      <c r="G321">
        <v>0</v>
      </c>
      <c r="H321" t="s">
        <v>26</v>
      </c>
      <c r="I321">
        <f>(480 - Tabla1[Minutos_Paro]) / 60</f>
        <v>8</v>
      </c>
      <c r="J321" t="str">
        <f>IF(Tabla1[Unidades_Defectuosas] &gt; Tabla1[Unidades_Producidas], "ERROR", "OK")</f>
        <v>OK</v>
      </c>
      <c r="K321" s="1">
        <f>Tabla1[Minutos_Paro] / Tabla1[Unidades_Producidas]</f>
        <v>0</v>
      </c>
      <c r="L321">
        <f>Tabla1[Unidades_Producidas] - Tabla1[Unidades_Defectuosas]</f>
        <v>236</v>
      </c>
      <c r="M321" s="3" t="str">
        <f>IF(Tabla1[Minutos_Paro]=0,"Nula",IF(Tabla1[Minutos_Paro]&lt;30,"Baja",IF(Tabla1[Minutos_Paro]&lt;60,"Media","Alta")))</f>
        <v>Nula</v>
      </c>
      <c r="N321" s="3">
        <f>250</f>
        <v>250</v>
      </c>
      <c r="O321" s="4">
        <f>Tabla1[Unidades_Defectuosas] / Tabla1[Unidades_Producidas]</f>
        <v>0</v>
      </c>
      <c r="P321" s="4">
        <f>Tabla1[Unidades_Buenas] / Tabla1[Unidades_Producidas]</f>
        <v>1</v>
      </c>
      <c r="Q321" s="3">
        <f>IF(Tabla1[Tipo_Defecto_Principal]="Falla de material", 3, IF(Tabla1[Tipo_Defecto_Principal]="Dimensión fuera de especificación", 2, 1))</f>
        <v>1</v>
      </c>
    </row>
    <row r="322" spans="1:17" x14ac:dyDescent="0.3">
      <c r="A322" s="2">
        <v>45226</v>
      </c>
      <c r="B322" t="s">
        <v>19</v>
      </c>
      <c r="C322" t="s">
        <v>9</v>
      </c>
      <c r="D322">
        <v>205</v>
      </c>
      <c r="E322">
        <v>9</v>
      </c>
      <c r="F322" t="s">
        <v>14</v>
      </c>
      <c r="G322">
        <v>0</v>
      </c>
      <c r="H322" t="s">
        <v>26</v>
      </c>
      <c r="I322">
        <f>(480 - Tabla1[Minutos_Paro]) / 60</f>
        <v>8</v>
      </c>
      <c r="J322" t="str">
        <f>IF(Tabla1[Unidades_Defectuosas] &gt; Tabla1[Unidades_Producidas], "ERROR", "OK")</f>
        <v>OK</v>
      </c>
      <c r="K322" s="1">
        <f>Tabla1[Minutos_Paro] / Tabla1[Unidades_Producidas]</f>
        <v>0</v>
      </c>
      <c r="L322">
        <f>Tabla1[Unidades_Producidas] - Tabla1[Unidades_Defectuosas]</f>
        <v>196</v>
      </c>
      <c r="M322" s="3" t="str">
        <f>IF(Tabla1[Minutos_Paro]=0,"Nula",IF(Tabla1[Minutos_Paro]&lt;30,"Baja",IF(Tabla1[Minutos_Paro]&lt;60,"Media","Alta")))</f>
        <v>Nula</v>
      </c>
      <c r="N322" s="3">
        <f>250</f>
        <v>250</v>
      </c>
      <c r="O322" s="4">
        <f>Tabla1[Unidades_Defectuosas] / Tabla1[Unidades_Producidas]</f>
        <v>4.3902439024390241E-2</v>
      </c>
      <c r="P322" s="4">
        <f>Tabla1[Unidades_Buenas] / Tabla1[Unidades_Producidas]</f>
        <v>0.95609756097560972</v>
      </c>
      <c r="Q322" s="3">
        <f>IF(Tabla1[Tipo_Defecto_Principal]="Falla de material", 3, IF(Tabla1[Tipo_Defecto_Principal]="Dimensión fuera de especificación", 2, 1))</f>
        <v>3</v>
      </c>
    </row>
    <row r="323" spans="1:17" x14ac:dyDescent="0.3">
      <c r="A323" s="2">
        <v>45226</v>
      </c>
      <c r="B323" t="s">
        <v>19</v>
      </c>
      <c r="C323" t="s">
        <v>12</v>
      </c>
      <c r="D323">
        <v>188</v>
      </c>
      <c r="E323">
        <v>20</v>
      </c>
      <c r="F323" t="s">
        <v>10</v>
      </c>
      <c r="G323">
        <v>0</v>
      </c>
      <c r="H323" t="s">
        <v>26</v>
      </c>
      <c r="I323">
        <f>(480 - Tabla1[Minutos_Paro]) / 60</f>
        <v>8</v>
      </c>
      <c r="J323" t="str">
        <f>IF(Tabla1[Unidades_Defectuosas] &gt; Tabla1[Unidades_Producidas], "ERROR", "OK")</f>
        <v>OK</v>
      </c>
      <c r="K323" s="1">
        <f>Tabla1[Minutos_Paro] / Tabla1[Unidades_Producidas]</f>
        <v>0</v>
      </c>
      <c r="L323">
        <f>Tabla1[Unidades_Producidas] - Tabla1[Unidades_Defectuosas]</f>
        <v>168</v>
      </c>
      <c r="M323" s="3" t="str">
        <f>IF(Tabla1[Minutos_Paro]=0,"Nula",IF(Tabla1[Minutos_Paro]&lt;30,"Baja",IF(Tabla1[Minutos_Paro]&lt;60,"Media","Alta")))</f>
        <v>Nula</v>
      </c>
      <c r="N323" s="3">
        <f>250</f>
        <v>250</v>
      </c>
      <c r="O323" s="4">
        <f>Tabla1[Unidades_Defectuosas] / Tabla1[Unidades_Producidas]</f>
        <v>0.10638297872340426</v>
      </c>
      <c r="P323" s="4">
        <f>Tabla1[Unidades_Buenas] / Tabla1[Unidades_Producidas]</f>
        <v>0.8936170212765957</v>
      </c>
      <c r="Q323" s="3">
        <f>IF(Tabla1[Tipo_Defecto_Principal]="Falla de material", 3, IF(Tabla1[Tipo_Defecto_Principal]="Dimensión fuera de especificación", 2, 1))</f>
        <v>2</v>
      </c>
    </row>
    <row r="324" spans="1:17" x14ac:dyDescent="0.3">
      <c r="A324" s="2">
        <v>45226</v>
      </c>
      <c r="B324" t="s">
        <v>19</v>
      </c>
      <c r="C324" t="s">
        <v>13</v>
      </c>
      <c r="D324">
        <v>194</v>
      </c>
      <c r="E324">
        <v>6</v>
      </c>
      <c r="F324" t="s">
        <v>16</v>
      </c>
      <c r="G324">
        <v>0</v>
      </c>
      <c r="H324" t="s">
        <v>26</v>
      </c>
      <c r="I324">
        <f>(480 - Tabla1[Minutos_Paro]) / 60</f>
        <v>8</v>
      </c>
      <c r="J324" t="str">
        <f>IF(Tabla1[Unidades_Defectuosas] &gt; Tabla1[Unidades_Producidas], "ERROR", "OK")</f>
        <v>OK</v>
      </c>
      <c r="K324" s="1">
        <f>Tabla1[Minutos_Paro] / Tabla1[Unidades_Producidas]</f>
        <v>0</v>
      </c>
      <c r="L324">
        <f>Tabla1[Unidades_Producidas] - Tabla1[Unidades_Defectuosas]</f>
        <v>188</v>
      </c>
      <c r="M324" s="3" t="str">
        <f>IF(Tabla1[Minutos_Paro]=0,"Nula",IF(Tabla1[Minutos_Paro]&lt;30,"Baja",IF(Tabla1[Minutos_Paro]&lt;60,"Media","Alta")))</f>
        <v>Nula</v>
      </c>
      <c r="N324" s="3">
        <f>250</f>
        <v>250</v>
      </c>
      <c r="O324" s="4">
        <f>Tabla1[Unidades_Defectuosas] / Tabla1[Unidades_Producidas]</f>
        <v>3.0927835051546393E-2</v>
      </c>
      <c r="P324" s="4">
        <f>Tabla1[Unidades_Buenas] / Tabla1[Unidades_Producidas]</f>
        <v>0.96907216494845361</v>
      </c>
      <c r="Q324" s="3">
        <f>IF(Tabla1[Tipo_Defecto_Principal]="Falla de material", 3, IF(Tabla1[Tipo_Defecto_Principal]="Dimensión fuera de especificación", 2, 1))</f>
        <v>1</v>
      </c>
    </row>
    <row r="325" spans="1:17" x14ac:dyDescent="0.3">
      <c r="A325" s="2">
        <v>45226</v>
      </c>
      <c r="B325" t="s">
        <v>19</v>
      </c>
      <c r="C325" t="s">
        <v>15</v>
      </c>
      <c r="D325">
        <v>239</v>
      </c>
      <c r="E325">
        <v>3</v>
      </c>
      <c r="F325" t="s">
        <v>16</v>
      </c>
      <c r="G325">
        <v>0</v>
      </c>
      <c r="H325" t="s">
        <v>26</v>
      </c>
      <c r="I325">
        <f>(480 - Tabla1[Minutos_Paro]) / 60</f>
        <v>8</v>
      </c>
      <c r="J325" t="str">
        <f>IF(Tabla1[Unidades_Defectuosas] &gt; Tabla1[Unidades_Producidas], "ERROR", "OK")</f>
        <v>OK</v>
      </c>
      <c r="K325" s="1">
        <f>Tabla1[Minutos_Paro] / Tabla1[Unidades_Producidas]</f>
        <v>0</v>
      </c>
      <c r="L325">
        <f>Tabla1[Unidades_Producidas] - Tabla1[Unidades_Defectuosas]</f>
        <v>236</v>
      </c>
      <c r="M325" s="3" t="str">
        <f>IF(Tabla1[Minutos_Paro]=0,"Nula",IF(Tabla1[Minutos_Paro]&lt;30,"Baja",IF(Tabla1[Minutos_Paro]&lt;60,"Media","Alta")))</f>
        <v>Nula</v>
      </c>
      <c r="N325" s="3">
        <f>250</f>
        <v>250</v>
      </c>
      <c r="O325" s="4">
        <f>Tabla1[Unidades_Defectuosas] / Tabla1[Unidades_Producidas]</f>
        <v>1.2552301255230125E-2</v>
      </c>
      <c r="P325" s="4">
        <f>Tabla1[Unidades_Buenas] / Tabla1[Unidades_Producidas]</f>
        <v>0.9874476987447699</v>
      </c>
      <c r="Q325" s="3">
        <f>IF(Tabla1[Tipo_Defecto_Principal]="Falla de material", 3, IF(Tabla1[Tipo_Defecto_Principal]="Dimensión fuera de especificación", 2, 1))</f>
        <v>1</v>
      </c>
    </row>
    <row r="326" spans="1:17" x14ac:dyDescent="0.3">
      <c r="A326" s="2">
        <v>45227</v>
      </c>
      <c r="B326" t="s">
        <v>8</v>
      </c>
      <c r="C326" t="s">
        <v>9</v>
      </c>
      <c r="D326">
        <v>192</v>
      </c>
      <c r="E326">
        <v>5</v>
      </c>
      <c r="F326" t="s">
        <v>14</v>
      </c>
      <c r="G326">
        <v>0</v>
      </c>
      <c r="H326" t="s">
        <v>26</v>
      </c>
      <c r="I326">
        <f>(480 - Tabla1[Minutos_Paro]) / 60</f>
        <v>8</v>
      </c>
      <c r="J326" t="str">
        <f>IF(Tabla1[Unidades_Defectuosas] &gt; Tabla1[Unidades_Producidas], "ERROR", "OK")</f>
        <v>OK</v>
      </c>
      <c r="K326" s="1">
        <f>Tabla1[Minutos_Paro] / Tabla1[Unidades_Producidas]</f>
        <v>0</v>
      </c>
      <c r="L326">
        <f>Tabla1[Unidades_Producidas] - Tabla1[Unidades_Defectuosas]</f>
        <v>187</v>
      </c>
      <c r="M326" s="3" t="str">
        <f>IF(Tabla1[Minutos_Paro]=0,"Nula",IF(Tabla1[Minutos_Paro]&lt;30,"Baja",IF(Tabla1[Minutos_Paro]&lt;60,"Media","Alta")))</f>
        <v>Nula</v>
      </c>
      <c r="N326" s="3">
        <f>250</f>
        <v>250</v>
      </c>
      <c r="O326" s="4">
        <f>Tabla1[Unidades_Defectuosas] / Tabla1[Unidades_Producidas]</f>
        <v>2.6041666666666668E-2</v>
      </c>
      <c r="P326" s="4">
        <f>Tabla1[Unidades_Buenas] / Tabla1[Unidades_Producidas]</f>
        <v>0.97395833333333337</v>
      </c>
      <c r="Q326" s="3">
        <f>IF(Tabla1[Tipo_Defecto_Principal]="Falla de material", 3, IF(Tabla1[Tipo_Defecto_Principal]="Dimensión fuera de especificación", 2, 1))</f>
        <v>3</v>
      </c>
    </row>
    <row r="327" spans="1:17" x14ac:dyDescent="0.3">
      <c r="A327" s="2">
        <v>45227</v>
      </c>
      <c r="B327" t="s">
        <v>8</v>
      </c>
      <c r="C327" t="s">
        <v>12</v>
      </c>
      <c r="D327">
        <v>191</v>
      </c>
      <c r="E327">
        <v>15</v>
      </c>
      <c r="F327" t="s">
        <v>10</v>
      </c>
      <c r="G327">
        <v>15</v>
      </c>
      <c r="H327" t="s">
        <v>24</v>
      </c>
      <c r="I327">
        <f>(480 - Tabla1[Minutos_Paro]) / 60</f>
        <v>7.75</v>
      </c>
      <c r="J327" t="str">
        <f>IF(Tabla1[Unidades_Defectuosas] &gt; Tabla1[Unidades_Producidas], "ERROR", "OK")</f>
        <v>OK</v>
      </c>
      <c r="K327" s="1">
        <f>Tabla1[Minutos_Paro] / Tabla1[Unidades_Producidas]</f>
        <v>7.8534031413612565E-2</v>
      </c>
      <c r="L327">
        <f>Tabla1[Unidades_Producidas] - Tabla1[Unidades_Defectuosas]</f>
        <v>176</v>
      </c>
      <c r="M327" s="3" t="str">
        <f>IF(Tabla1[Minutos_Paro]=0,"Nula",IF(Tabla1[Minutos_Paro]&lt;30,"Baja",IF(Tabla1[Minutos_Paro]&lt;60,"Media","Alta")))</f>
        <v>Baja</v>
      </c>
      <c r="N327" s="3">
        <f>250</f>
        <v>250</v>
      </c>
      <c r="O327" s="4">
        <f>Tabla1[Unidades_Defectuosas] / Tabla1[Unidades_Producidas]</f>
        <v>7.8534031413612565E-2</v>
      </c>
      <c r="P327" s="4">
        <f>Tabla1[Unidades_Buenas] / Tabla1[Unidades_Producidas]</f>
        <v>0.92146596858638741</v>
      </c>
      <c r="Q327" s="3">
        <f>IF(Tabla1[Tipo_Defecto_Principal]="Falla de material", 3, IF(Tabla1[Tipo_Defecto_Principal]="Dimensión fuera de especificación", 2, 1))</f>
        <v>2</v>
      </c>
    </row>
    <row r="328" spans="1:17" x14ac:dyDescent="0.3">
      <c r="A328" s="2">
        <v>45227</v>
      </c>
      <c r="B328" t="s">
        <v>8</v>
      </c>
      <c r="C328" t="s">
        <v>13</v>
      </c>
      <c r="D328">
        <v>226</v>
      </c>
      <c r="E328">
        <v>3</v>
      </c>
      <c r="F328" t="s">
        <v>18</v>
      </c>
      <c r="G328">
        <v>15</v>
      </c>
      <c r="H328" t="s">
        <v>25</v>
      </c>
      <c r="I328">
        <f>(480 - Tabla1[Minutos_Paro]) / 60</f>
        <v>7.75</v>
      </c>
      <c r="J328" t="str">
        <f>IF(Tabla1[Unidades_Defectuosas] &gt; Tabla1[Unidades_Producidas], "ERROR", "OK")</f>
        <v>OK</v>
      </c>
      <c r="K328" s="1">
        <f>Tabla1[Minutos_Paro] / Tabla1[Unidades_Producidas]</f>
        <v>6.637168141592921E-2</v>
      </c>
      <c r="L328">
        <f>Tabla1[Unidades_Producidas] - Tabla1[Unidades_Defectuosas]</f>
        <v>223</v>
      </c>
      <c r="M328" s="3" t="str">
        <f>IF(Tabla1[Minutos_Paro]=0,"Nula",IF(Tabla1[Minutos_Paro]&lt;30,"Baja",IF(Tabla1[Minutos_Paro]&lt;60,"Media","Alta")))</f>
        <v>Baja</v>
      </c>
      <c r="N328" s="3">
        <f>250</f>
        <v>250</v>
      </c>
      <c r="O328" s="4">
        <f>Tabla1[Unidades_Defectuosas] / Tabla1[Unidades_Producidas]</f>
        <v>1.3274336283185841E-2</v>
      </c>
      <c r="P328" s="4">
        <f>Tabla1[Unidades_Buenas] / Tabla1[Unidades_Producidas]</f>
        <v>0.98672566371681414</v>
      </c>
      <c r="Q328" s="3">
        <f>IF(Tabla1[Tipo_Defecto_Principal]="Falla de material", 3, IF(Tabla1[Tipo_Defecto_Principal]="Dimensión fuera de especificación", 2, 1))</f>
        <v>1</v>
      </c>
    </row>
    <row r="329" spans="1:17" x14ac:dyDescent="0.3">
      <c r="A329" s="2">
        <v>45227</v>
      </c>
      <c r="B329" t="s">
        <v>8</v>
      </c>
      <c r="C329" t="s">
        <v>15</v>
      </c>
      <c r="D329">
        <v>192</v>
      </c>
      <c r="E329">
        <v>8</v>
      </c>
      <c r="F329" t="s">
        <v>16</v>
      </c>
      <c r="G329">
        <v>0</v>
      </c>
      <c r="H329" t="s">
        <v>26</v>
      </c>
      <c r="I329">
        <f>(480 - Tabla1[Minutos_Paro]) / 60</f>
        <v>8</v>
      </c>
      <c r="J329" t="str">
        <f>IF(Tabla1[Unidades_Defectuosas] &gt; Tabla1[Unidades_Producidas], "ERROR", "OK")</f>
        <v>OK</v>
      </c>
      <c r="K329" s="1">
        <f>Tabla1[Minutos_Paro] / Tabla1[Unidades_Producidas]</f>
        <v>0</v>
      </c>
      <c r="L329">
        <f>Tabla1[Unidades_Producidas] - Tabla1[Unidades_Defectuosas]</f>
        <v>184</v>
      </c>
      <c r="M329" s="3" t="str">
        <f>IF(Tabla1[Minutos_Paro]=0,"Nula",IF(Tabla1[Minutos_Paro]&lt;30,"Baja",IF(Tabla1[Minutos_Paro]&lt;60,"Media","Alta")))</f>
        <v>Nula</v>
      </c>
      <c r="N329" s="3">
        <f>250</f>
        <v>250</v>
      </c>
      <c r="O329" s="4">
        <f>Tabla1[Unidades_Defectuosas] / Tabla1[Unidades_Producidas]</f>
        <v>4.1666666666666664E-2</v>
      </c>
      <c r="P329" s="4">
        <f>Tabla1[Unidades_Buenas] / Tabla1[Unidades_Producidas]</f>
        <v>0.95833333333333337</v>
      </c>
      <c r="Q329" s="3">
        <f>IF(Tabla1[Tipo_Defecto_Principal]="Falla de material", 3, IF(Tabla1[Tipo_Defecto_Principal]="Dimensión fuera de especificación", 2, 1))</f>
        <v>1</v>
      </c>
    </row>
    <row r="330" spans="1:17" x14ac:dyDescent="0.3">
      <c r="A330" s="2">
        <v>45227</v>
      </c>
      <c r="B330" t="s">
        <v>17</v>
      </c>
      <c r="C330" t="s">
        <v>9</v>
      </c>
      <c r="D330">
        <v>187</v>
      </c>
      <c r="E330">
        <v>8</v>
      </c>
      <c r="F330" t="s">
        <v>20</v>
      </c>
      <c r="G330">
        <v>0</v>
      </c>
      <c r="H330" t="s">
        <v>26</v>
      </c>
      <c r="I330">
        <f>(480 - Tabla1[Minutos_Paro]) / 60</f>
        <v>8</v>
      </c>
      <c r="J330" t="str">
        <f>IF(Tabla1[Unidades_Defectuosas] &gt; Tabla1[Unidades_Producidas], "ERROR", "OK")</f>
        <v>OK</v>
      </c>
      <c r="K330" s="1">
        <f>Tabla1[Minutos_Paro] / Tabla1[Unidades_Producidas]</f>
        <v>0</v>
      </c>
      <c r="L330">
        <f>Tabla1[Unidades_Producidas] - Tabla1[Unidades_Defectuosas]</f>
        <v>179</v>
      </c>
      <c r="M330" s="3" t="str">
        <f>IF(Tabla1[Minutos_Paro]=0,"Nula",IF(Tabla1[Minutos_Paro]&lt;30,"Baja",IF(Tabla1[Minutos_Paro]&lt;60,"Media","Alta")))</f>
        <v>Nula</v>
      </c>
      <c r="N330" s="3">
        <f>250</f>
        <v>250</v>
      </c>
      <c r="O330" s="4">
        <f>Tabla1[Unidades_Defectuosas] / Tabla1[Unidades_Producidas]</f>
        <v>4.2780748663101602E-2</v>
      </c>
      <c r="P330" s="4">
        <f>Tabla1[Unidades_Buenas] / Tabla1[Unidades_Producidas]</f>
        <v>0.95721925133689845</v>
      </c>
      <c r="Q330" s="3">
        <f>IF(Tabla1[Tipo_Defecto_Principal]="Falla de material", 3, IF(Tabla1[Tipo_Defecto_Principal]="Dimensión fuera de especificación", 2, 1))</f>
        <v>1</v>
      </c>
    </row>
    <row r="331" spans="1:17" x14ac:dyDescent="0.3">
      <c r="A331" s="2">
        <v>45227</v>
      </c>
      <c r="B331" t="s">
        <v>17</v>
      </c>
      <c r="C331" t="s">
        <v>12</v>
      </c>
      <c r="D331">
        <v>236</v>
      </c>
      <c r="E331">
        <v>19</v>
      </c>
      <c r="F331" t="s">
        <v>10</v>
      </c>
      <c r="G331">
        <v>0</v>
      </c>
      <c r="H331" t="s">
        <v>26</v>
      </c>
      <c r="I331">
        <f>(480 - Tabla1[Minutos_Paro]) / 60</f>
        <v>8</v>
      </c>
      <c r="J331" t="str">
        <f>IF(Tabla1[Unidades_Defectuosas] &gt; Tabla1[Unidades_Producidas], "ERROR", "OK")</f>
        <v>OK</v>
      </c>
      <c r="K331" s="1">
        <f>Tabla1[Minutos_Paro] / Tabla1[Unidades_Producidas]</f>
        <v>0</v>
      </c>
      <c r="L331">
        <f>Tabla1[Unidades_Producidas] - Tabla1[Unidades_Defectuosas]</f>
        <v>217</v>
      </c>
      <c r="M331" s="3" t="str">
        <f>IF(Tabla1[Minutos_Paro]=0,"Nula",IF(Tabla1[Minutos_Paro]&lt;30,"Baja",IF(Tabla1[Minutos_Paro]&lt;60,"Media","Alta")))</f>
        <v>Nula</v>
      </c>
      <c r="N331" s="3">
        <f>250</f>
        <v>250</v>
      </c>
      <c r="O331" s="4">
        <f>Tabla1[Unidades_Defectuosas] / Tabla1[Unidades_Producidas]</f>
        <v>8.050847457627118E-2</v>
      </c>
      <c r="P331" s="4">
        <f>Tabla1[Unidades_Buenas] / Tabla1[Unidades_Producidas]</f>
        <v>0.91949152542372881</v>
      </c>
      <c r="Q331" s="3">
        <f>IF(Tabla1[Tipo_Defecto_Principal]="Falla de material", 3, IF(Tabla1[Tipo_Defecto_Principal]="Dimensión fuera de especificación", 2, 1))</f>
        <v>2</v>
      </c>
    </row>
    <row r="332" spans="1:17" x14ac:dyDescent="0.3">
      <c r="A332" s="2">
        <v>45227</v>
      </c>
      <c r="B332" t="s">
        <v>17</v>
      </c>
      <c r="C332" t="s">
        <v>13</v>
      </c>
      <c r="D332">
        <v>192</v>
      </c>
      <c r="E332">
        <v>2</v>
      </c>
      <c r="F332" t="s">
        <v>14</v>
      </c>
      <c r="G332">
        <v>0</v>
      </c>
      <c r="H332" t="s">
        <v>26</v>
      </c>
      <c r="I332">
        <f>(480 - Tabla1[Minutos_Paro]) / 60</f>
        <v>8</v>
      </c>
      <c r="J332" t="str">
        <f>IF(Tabla1[Unidades_Defectuosas] &gt; Tabla1[Unidades_Producidas], "ERROR", "OK")</f>
        <v>OK</v>
      </c>
      <c r="K332" s="1">
        <f>Tabla1[Minutos_Paro] / Tabla1[Unidades_Producidas]</f>
        <v>0</v>
      </c>
      <c r="L332">
        <f>Tabla1[Unidades_Producidas] - Tabla1[Unidades_Defectuosas]</f>
        <v>190</v>
      </c>
      <c r="M332" s="3" t="str">
        <f>IF(Tabla1[Minutos_Paro]=0,"Nula",IF(Tabla1[Minutos_Paro]&lt;30,"Baja",IF(Tabla1[Minutos_Paro]&lt;60,"Media","Alta")))</f>
        <v>Nula</v>
      </c>
      <c r="N332" s="3">
        <f>250</f>
        <v>250</v>
      </c>
      <c r="O332" s="4">
        <f>Tabla1[Unidades_Defectuosas] / Tabla1[Unidades_Producidas]</f>
        <v>1.0416666666666666E-2</v>
      </c>
      <c r="P332" s="4">
        <f>Tabla1[Unidades_Buenas] / Tabla1[Unidades_Producidas]</f>
        <v>0.98958333333333337</v>
      </c>
      <c r="Q332" s="3">
        <f>IF(Tabla1[Tipo_Defecto_Principal]="Falla de material", 3, IF(Tabla1[Tipo_Defecto_Principal]="Dimensión fuera de especificación", 2, 1))</f>
        <v>3</v>
      </c>
    </row>
    <row r="333" spans="1:17" x14ac:dyDescent="0.3">
      <c r="A333" s="2">
        <v>45227</v>
      </c>
      <c r="B333" t="s">
        <v>17</v>
      </c>
      <c r="C333" t="s">
        <v>15</v>
      </c>
      <c r="D333">
        <v>189</v>
      </c>
      <c r="E333">
        <v>4</v>
      </c>
      <c r="F333" t="s">
        <v>18</v>
      </c>
      <c r="G333">
        <v>0</v>
      </c>
      <c r="H333" t="s">
        <v>26</v>
      </c>
      <c r="I333">
        <f>(480 - Tabla1[Minutos_Paro]) / 60</f>
        <v>8</v>
      </c>
      <c r="J333" t="str">
        <f>IF(Tabla1[Unidades_Defectuosas] &gt; Tabla1[Unidades_Producidas], "ERROR", "OK")</f>
        <v>OK</v>
      </c>
      <c r="K333" s="1">
        <f>Tabla1[Minutos_Paro] / Tabla1[Unidades_Producidas]</f>
        <v>0</v>
      </c>
      <c r="L333">
        <f>Tabla1[Unidades_Producidas] - Tabla1[Unidades_Defectuosas]</f>
        <v>185</v>
      </c>
      <c r="M333" s="3" t="str">
        <f>IF(Tabla1[Minutos_Paro]=0,"Nula",IF(Tabla1[Minutos_Paro]&lt;30,"Baja",IF(Tabla1[Minutos_Paro]&lt;60,"Media","Alta")))</f>
        <v>Nula</v>
      </c>
      <c r="N333" s="3">
        <f>250</f>
        <v>250</v>
      </c>
      <c r="O333" s="4">
        <f>Tabla1[Unidades_Defectuosas] / Tabla1[Unidades_Producidas]</f>
        <v>2.1164021164021163E-2</v>
      </c>
      <c r="P333" s="4">
        <f>Tabla1[Unidades_Buenas] / Tabla1[Unidades_Producidas]</f>
        <v>0.97883597883597884</v>
      </c>
      <c r="Q333" s="3">
        <f>IF(Tabla1[Tipo_Defecto_Principal]="Falla de material", 3, IF(Tabla1[Tipo_Defecto_Principal]="Dimensión fuera de especificación", 2, 1))</f>
        <v>1</v>
      </c>
    </row>
    <row r="334" spans="1:17" x14ac:dyDescent="0.3">
      <c r="A334" s="2">
        <v>45227</v>
      </c>
      <c r="B334" t="s">
        <v>19</v>
      </c>
      <c r="C334" t="s">
        <v>9</v>
      </c>
      <c r="D334">
        <v>204</v>
      </c>
      <c r="E334">
        <v>9</v>
      </c>
      <c r="F334" t="s">
        <v>16</v>
      </c>
      <c r="G334">
        <v>0</v>
      </c>
      <c r="H334" t="s">
        <v>26</v>
      </c>
      <c r="I334">
        <f>(480 - Tabla1[Minutos_Paro]) / 60</f>
        <v>8</v>
      </c>
      <c r="J334" t="str">
        <f>IF(Tabla1[Unidades_Defectuosas] &gt; Tabla1[Unidades_Producidas], "ERROR", "OK")</f>
        <v>OK</v>
      </c>
      <c r="K334" s="1">
        <f>Tabla1[Minutos_Paro] / Tabla1[Unidades_Producidas]</f>
        <v>0</v>
      </c>
      <c r="L334">
        <f>Tabla1[Unidades_Producidas] - Tabla1[Unidades_Defectuosas]</f>
        <v>195</v>
      </c>
      <c r="M334" s="3" t="str">
        <f>IF(Tabla1[Minutos_Paro]=0,"Nula",IF(Tabla1[Minutos_Paro]&lt;30,"Baja",IF(Tabla1[Minutos_Paro]&lt;60,"Media","Alta")))</f>
        <v>Nula</v>
      </c>
      <c r="N334" s="3">
        <f>250</f>
        <v>250</v>
      </c>
      <c r="O334" s="4">
        <f>Tabla1[Unidades_Defectuosas] / Tabla1[Unidades_Producidas]</f>
        <v>4.4117647058823532E-2</v>
      </c>
      <c r="P334" s="4">
        <f>Tabla1[Unidades_Buenas] / Tabla1[Unidades_Producidas]</f>
        <v>0.95588235294117652</v>
      </c>
      <c r="Q334" s="3">
        <f>IF(Tabla1[Tipo_Defecto_Principal]="Falla de material", 3, IF(Tabla1[Tipo_Defecto_Principal]="Dimensión fuera de especificación", 2, 1))</f>
        <v>1</v>
      </c>
    </row>
    <row r="335" spans="1:17" x14ac:dyDescent="0.3">
      <c r="A335" s="2">
        <v>45227</v>
      </c>
      <c r="B335" t="s">
        <v>19</v>
      </c>
      <c r="C335" t="s">
        <v>12</v>
      </c>
      <c r="D335">
        <v>213</v>
      </c>
      <c r="E335">
        <v>13</v>
      </c>
      <c r="F335" t="s">
        <v>20</v>
      </c>
      <c r="G335">
        <v>0</v>
      </c>
      <c r="H335" t="s">
        <v>26</v>
      </c>
      <c r="I335">
        <f>(480 - Tabla1[Minutos_Paro]) / 60</f>
        <v>8</v>
      </c>
      <c r="J335" t="str">
        <f>IF(Tabla1[Unidades_Defectuosas] &gt; Tabla1[Unidades_Producidas], "ERROR", "OK")</f>
        <v>OK</v>
      </c>
      <c r="K335" s="1">
        <f>Tabla1[Minutos_Paro] / Tabla1[Unidades_Producidas]</f>
        <v>0</v>
      </c>
      <c r="L335">
        <f>Tabla1[Unidades_Producidas] - Tabla1[Unidades_Defectuosas]</f>
        <v>200</v>
      </c>
      <c r="M335" s="3" t="str">
        <f>IF(Tabla1[Minutos_Paro]=0,"Nula",IF(Tabla1[Minutos_Paro]&lt;30,"Baja",IF(Tabla1[Minutos_Paro]&lt;60,"Media","Alta")))</f>
        <v>Nula</v>
      </c>
      <c r="N335" s="3">
        <f>250</f>
        <v>250</v>
      </c>
      <c r="O335" s="4">
        <f>Tabla1[Unidades_Defectuosas] / Tabla1[Unidades_Producidas]</f>
        <v>6.1032863849765258E-2</v>
      </c>
      <c r="P335" s="4">
        <f>Tabla1[Unidades_Buenas] / Tabla1[Unidades_Producidas]</f>
        <v>0.93896713615023475</v>
      </c>
      <c r="Q335" s="3">
        <f>IF(Tabla1[Tipo_Defecto_Principal]="Falla de material", 3, IF(Tabla1[Tipo_Defecto_Principal]="Dimensión fuera de especificación", 2, 1))</f>
        <v>1</v>
      </c>
    </row>
    <row r="336" spans="1:17" x14ac:dyDescent="0.3">
      <c r="A336" s="2">
        <v>45227</v>
      </c>
      <c r="B336" t="s">
        <v>19</v>
      </c>
      <c r="C336" t="s">
        <v>13</v>
      </c>
      <c r="D336">
        <v>204</v>
      </c>
      <c r="E336">
        <v>4</v>
      </c>
      <c r="F336" t="s">
        <v>18</v>
      </c>
      <c r="G336">
        <v>0</v>
      </c>
      <c r="H336" t="s">
        <v>26</v>
      </c>
      <c r="I336">
        <f>(480 - Tabla1[Minutos_Paro]) / 60</f>
        <v>8</v>
      </c>
      <c r="J336" t="str">
        <f>IF(Tabla1[Unidades_Defectuosas] &gt; Tabla1[Unidades_Producidas], "ERROR", "OK")</f>
        <v>OK</v>
      </c>
      <c r="K336" s="1">
        <f>Tabla1[Minutos_Paro] / Tabla1[Unidades_Producidas]</f>
        <v>0</v>
      </c>
      <c r="L336">
        <f>Tabla1[Unidades_Producidas] - Tabla1[Unidades_Defectuosas]</f>
        <v>200</v>
      </c>
      <c r="M336" s="3" t="str">
        <f>IF(Tabla1[Minutos_Paro]=0,"Nula",IF(Tabla1[Minutos_Paro]&lt;30,"Baja",IF(Tabla1[Minutos_Paro]&lt;60,"Media","Alta")))</f>
        <v>Nula</v>
      </c>
      <c r="N336" s="3">
        <f>250</f>
        <v>250</v>
      </c>
      <c r="O336" s="4">
        <f>Tabla1[Unidades_Defectuosas] / Tabla1[Unidades_Producidas]</f>
        <v>1.9607843137254902E-2</v>
      </c>
      <c r="P336" s="4">
        <f>Tabla1[Unidades_Buenas] / Tabla1[Unidades_Producidas]</f>
        <v>0.98039215686274506</v>
      </c>
      <c r="Q336" s="3">
        <f>IF(Tabla1[Tipo_Defecto_Principal]="Falla de material", 3, IF(Tabla1[Tipo_Defecto_Principal]="Dimensión fuera de especificación", 2, 1))</f>
        <v>1</v>
      </c>
    </row>
    <row r="337" spans="1:17" x14ac:dyDescent="0.3">
      <c r="A337" s="2">
        <v>45227</v>
      </c>
      <c r="B337" t="s">
        <v>19</v>
      </c>
      <c r="C337" t="s">
        <v>15</v>
      </c>
      <c r="D337">
        <v>186</v>
      </c>
      <c r="E337">
        <v>7</v>
      </c>
      <c r="F337" t="s">
        <v>20</v>
      </c>
      <c r="G337">
        <v>15</v>
      </c>
      <c r="H337" t="s">
        <v>25</v>
      </c>
      <c r="I337">
        <f>(480 - Tabla1[Minutos_Paro]) / 60</f>
        <v>7.75</v>
      </c>
      <c r="J337" t="str">
        <f>IF(Tabla1[Unidades_Defectuosas] &gt; Tabla1[Unidades_Producidas], "ERROR", "OK")</f>
        <v>OK</v>
      </c>
      <c r="K337" s="1">
        <f>Tabla1[Minutos_Paro] / Tabla1[Unidades_Producidas]</f>
        <v>8.0645161290322578E-2</v>
      </c>
      <c r="L337">
        <f>Tabla1[Unidades_Producidas] - Tabla1[Unidades_Defectuosas]</f>
        <v>179</v>
      </c>
      <c r="M337" s="3" t="str">
        <f>IF(Tabla1[Minutos_Paro]=0,"Nula",IF(Tabla1[Minutos_Paro]&lt;30,"Baja",IF(Tabla1[Minutos_Paro]&lt;60,"Media","Alta")))</f>
        <v>Baja</v>
      </c>
      <c r="N337" s="3">
        <f>250</f>
        <v>250</v>
      </c>
      <c r="O337" s="4">
        <f>Tabla1[Unidades_Defectuosas] / Tabla1[Unidades_Producidas]</f>
        <v>3.7634408602150539E-2</v>
      </c>
      <c r="P337" s="4">
        <f>Tabla1[Unidades_Buenas] / Tabla1[Unidades_Producidas]</f>
        <v>0.9623655913978495</v>
      </c>
      <c r="Q337" s="3">
        <f>IF(Tabla1[Tipo_Defecto_Principal]="Falla de material", 3, IF(Tabla1[Tipo_Defecto_Principal]="Dimensión fuera de especificación", 2, 1))</f>
        <v>1</v>
      </c>
    </row>
    <row r="338" spans="1:17" x14ac:dyDescent="0.3">
      <c r="A338" s="2">
        <v>45228</v>
      </c>
      <c r="B338" t="s">
        <v>8</v>
      </c>
      <c r="C338" t="s">
        <v>9</v>
      </c>
      <c r="D338">
        <v>208</v>
      </c>
      <c r="E338">
        <v>7</v>
      </c>
      <c r="F338" t="s">
        <v>18</v>
      </c>
      <c r="G338">
        <v>120</v>
      </c>
      <c r="H338" t="s">
        <v>23</v>
      </c>
      <c r="I338">
        <f>(480 - Tabla1[Minutos_Paro]) / 60</f>
        <v>6</v>
      </c>
      <c r="J338" t="str">
        <f>IF(Tabla1[Unidades_Defectuosas] &gt; Tabla1[Unidades_Producidas], "ERROR", "OK")</f>
        <v>OK</v>
      </c>
      <c r="K338" s="1">
        <f>Tabla1[Minutos_Paro] / Tabla1[Unidades_Producidas]</f>
        <v>0.57692307692307687</v>
      </c>
      <c r="L338">
        <f>Tabla1[Unidades_Producidas] - Tabla1[Unidades_Defectuosas]</f>
        <v>201</v>
      </c>
      <c r="M338" s="3" t="str">
        <f>IF(Tabla1[Minutos_Paro]=0,"Nula",IF(Tabla1[Minutos_Paro]&lt;30,"Baja",IF(Tabla1[Minutos_Paro]&lt;60,"Media","Alta")))</f>
        <v>Alta</v>
      </c>
      <c r="N338" s="3">
        <f>250</f>
        <v>250</v>
      </c>
      <c r="O338" s="4">
        <f>Tabla1[Unidades_Defectuosas] / Tabla1[Unidades_Producidas]</f>
        <v>3.3653846153846152E-2</v>
      </c>
      <c r="P338" s="4">
        <f>Tabla1[Unidades_Buenas] / Tabla1[Unidades_Producidas]</f>
        <v>0.96634615384615385</v>
      </c>
      <c r="Q338" s="3">
        <f>IF(Tabla1[Tipo_Defecto_Principal]="Falla de material", 3, IF(Tabla1[Tipo_Defecto_Principal]="Dimensión fuera de especificación", 2, 1))</f>
        <v>1</v>
      </c>
    </row>
    <row r="339" spans="1:17" x14ac:dyDescent="0.3">
      <c r="A339" s="2">
        <v>45228</v>
      </c>
      <c r="B339" t="s">
        <v>8</v>
      </c>
      <c r="C339" t="s">
        <v>12</v>
      </c>
      <c r="D339">
        <v>194</v>
      </c>
      <c r="E339">
        <v>16</v>
      </c>
      <c r="F339" t="s">
        <v>18</v>
      </c>
      <c r="G339">
        <v>0</v>
      </c>
      <c r="H339" t="s">
        <v>26</v>
      </c>
      <c r="I339">
        <f>(480 - Tabla1[Minutos_Paro]) / 60</f>
        <v>8</v>
      </c>
      <c r="J339" t="str">
        <f>IF(Tabla1[Unidades_Defectuosas] &gt; Tabla1[Unidades_Producidas], "ERROR", "OK")</f>
        <v>OK</v>
      </c>
      <c r="K339" s="1">
        <f>Tabla1[Minutos_Paro] / Tabla1[Unidades_Producidas]</f>
        <v>0</v>
      </c>
      <c r="L339">
        <f>Tabla1[Unidades_Producidas] - Tabla1[Unidades_Defectuosas]</f>
        <v>178</v>
      </c>
      <c r="M339" s="3" t="str">
        <f>IF(Tabla1[Minutos_Paro]=0,"Nula",IF(Tabla1[Minutos_Paro]&lt;30,"Baja",IF(Tabla1[Minutos_Paro]&lt;60,"Media","Alta")))</f>
        <v>Nula</v>
      </c>
      <c r="N339" s="3">
        <f>250</f>
        <v>250</v>
      </c>
      <c r="O339" s="4">
        <f>Tabla1[Unidades_Defectuosas] / Tabla1[Unidades_Producidas]</f>
        <v>8.247422680412371E-2</v>
      </c>
      <c r="P339" s="4">
        <f>Tabla1[Unidades_Buenas] / Tabla1[Unidades_Producidas]</f>
        <v>0.91752577319587625</v>
      </c>
      <c r="Q339" s="3">
        <f>IF(Tabla1[Tipo_Defecto_Principal]="Falla de material", 3, IF(Tabla1[Tipo_Defecto_Principal]="Dimensión fuera de especificación", 2, 1))</f>
        <v>1</v>
      </c>
    </row>
    <row r="340" spans="1:17" x14ac:dyDescent="0.3">
      <c r="A340" s="2">
        <v>45228</v>
      </c>
      <c r="B340" t="s">
        <v>8</v>
      </c>
      <c r="C340" t="s">
        <v>13</v>
      </c>
      <c r="D340">
        <v>236</v>
      </c>
      <c r="E340">
        <v>9</v>
      </c>
      <c r="F340" t="s">
        <v>16</v>
      </c>
      <c r="G340">
        <v>30</v>
      </c>
      <c r="H340" t="s">
        <v>11</v>
      </c>
      <c r="I340">
        <f>(480 - Tabla1[Minutos_Paro]) / 60</f>
        <v>7.5</v>
      </c>
      <c r="J340" t="str">
        <f>IF(Tabla1[Unidades_Defectuosas] &gt; Tabla1[Unidades_Producidas], "ERROR", "OK")</f>
        <v>OK</v>
      </c>
      <c r="K340" s="1">
        <f>Tabla1[Minutos_Paro] / Tabla1[Unidades_Producidas]</f>
        <v>0.1271186440677966</v>
      </c>
      <c r="L340">
        <f>Tabla1[Unidades_Producidas] - Tabla1[Unidades_Defectuosas]</f>
        <v>227</v>
      </c>
      <c r="M340" s="3" t="str">
        <f>IF(Tabla1[Minutos_Paro]=0,"Nula",IF(Tabla1[Minutos_Paro]&lt;30,"Baja",IF(Tabla1[Minutos_Paro]&lt;60,"Media","Alta")))</f>
        <v>Media</v>
      </c>
      <c r="N340" s="3">
        <f>250</f>
        <v>250</v>
      </c>
      <c r="O340" s="4">
        <f>Tabla1[Unidades_Defectuosas] / Tabla1[Unidades_Producidas]</f>
        <v>3.8135593220338986E-2</v>
      </c>
      <c r="P340" s="4">
        <f>Tabla1[Unidades_Buenas] / Tabla1[Unidades_Producidas]</f>
        <v>0.96186440677966101</v>
      </c>
      <c r="Q340" s="3">
        <f>IF(Tabla1[Tipo_Defecto_Principal]="Falla de material", 3, IF(Tabla1[Tipo_Defecto_Principal]="Dimensión fuera de especificación", 2, 1))</f>
        <v>1</v>
      </c>
    </row>
    <row r="341" spans="1:17" x14ac:dyDescent="0.3">
      <c r="A341" s="2">
        <v>45228</v>
      </c>
      <c r="B341" t="s">
        <v>8</v>
      </c>
      <c r="C341" t="s">
        <v>15</v>
      </c>
      <c r="D341">
        <v>236</v>
      </c>
      <c r="E341">
        <v>4</v>
      </c>
      <c r="F341" t="s">
        <v>18</v>
      </c>
      <c r="G341">
        <v>0</v>
      </c>
      <c r="H341" t="s">
        <v>26</v>
      </c>
      <c r="I341">
        <f>(480 - Tabla1[Minutos_Paro]) / 60</f>
        <v>8</v>
      </c>
      <c r="J341" t="str">
        <f>IF(Tabla1[Unidades_Defectuosas] &gt; Tabla1[Unidades_Producidas], "ERROR", "OK")</f>
        <v>OK</v>
      </c>
      <c r="K341" s="1">
        <f>Tabla1[Minutos_Paro] / Tabla1[Unidades_Producidas]</f>
        <v>0</v>
      </c>
      <c r="L341">
        <f>Tabla1[Unidades_Producidas] - Tabla1[Unidades_Defectuosas]</f>
        <v>232</v>
      </c>
      <c r="M341" s="3" t="str">
        <f>IF(Tabla1[Minutos_Paro]=0,"Nula",IF(Tabla1[Minutos_Paro]&lt;30,"Baja",IF(Tabla1[Minutos_Paro]&lt;60,"Media","Alta")))</f>
        <v>Nula</v>
      </c>
      <c r="N341" s="3">
        <f>250</f>
        <v>250</v>
      </c>
      <c r="O341" s="4">
        <f>Tabla1[Unidades_Defectuosas] / Tabla1[Unidades_Producidas]</f>
        <v>1.6949152542372881E-2</v>
      </c>
      <c r="P341" s="4">
        <f>Tabla1[Unidades_Buenas] / Tabla1[Unidades_Producidas]</f>
        <v>0.98305084745762716</v>
      </c>
      <c r="Q341" s="3">
        <f>IF(Tabla1[Tipo_Defecto_Principal]="Falla de material", 3, IF(Tabla1[Tipo_Defecto_Principal]="Dimensión fuera de especificación", 2, 1))</f>
        <v>1</v>
      </c>
    </row>
    <row r="342" spans="1:17" x14ac:dyDescent="0.3">
      <c r="A342" s="2">
        <v>45228</v>
      </c>
      <c r="B342" t="s">
        <v>17</v>
      </c>
      <c r="C342" t="s">
        <v>9</v>
      </c>
      <c r="D342">
        <v>233</v>
      </c>
      <c r="E342">
        <v>11</v>
      </c>
      <c r="F342" t="s">
        <v>18</v>
      </c>
      <c r="G342">
        <v>0</v>
      </c>
      <c r="H342" t="s">
        <v>26</v>
      </c>
      <c r="I342">
        <f>(480 - Tabla1[Minutos_Paro]) / 60</f>
        <v>8</v>
      </c>
      <c r="J342" t="str">
        <f>IF(Tabla1[Unidades_Defectuosas] &gt; Tabla1[Unidades_Producidas], "ERROR", "OK")</f>
        <v>OK</v>
      </c>
      <c r="K342" s="1">
        <f>Tabla1[Minutos_Paro] / Tabla1[Unidades_Producidas]</f>
        <v>0</v>
      </c>
      <c r="L342">
        <f>Tabla1[Unidades_Producidas] - Tabla1[Unidades_Defectuosas]</f>
        <v>222</v>
      </c>
      <c r="M342" s="3" t="str">
        <f>IF(Tabla1[Minutos_Paro]=0,"Nula",IF(Tabla1[Minutos_Paro]&lt;30,"Baja",IF(Tabla1[Minutos_Paro]&lt;60,"Media","Alta")))</f>
        <v>Nula</v>
      </c>
      <c r="N342" s="3">
        <f>250</f>
        <v>250</v>
      </c>
      <c r="O342" s="4">
        <f>Tabla1[Unidades_Defectuosas] / Tabla1[Unidades_Producidas]</f>
        <v>4.7210300429184553E-2</v>
      </c>
      <c r="P342" s="4">
        <f>Tabla1[Unidades_Buenas] / Tabla1[Unidades_Producidas]</f>
        <v>0.9527896995708155</v>
      </c>
      <c r="Q342" s="3">
        <f>IF(Tabla1[Tipo_Defecto_Principal]="Falla de material", 3, IF(Tabla1[Tipo_Defecto_Principal]="Dimensión fuera de especificación", 2, 1))</f>
        <v>1</v>
      </c>
    </row>
    <row r="343" spans="1:17" x14ac:dyDescent="0.3">
      <c r="A343" s="2">
        <v>45228</v>
      </c>
      <c r="B343" t="s">
        <v>17</v>
      </c>
      <c r="C343" t="s">
        <v>12</v>
      </c>
      <c r="D343">
        <v>185</v>
      </c>
      <c r="E343">
        <v>14</v>
      </c>
      <c r="F343" t="s">
        <v>10</v>
      </c>
      <c r="G343">
        <v>0</v>
      </c>
      <c r="H343" t="s">
        <v>26</v>
      </c>
      <c r="I343">
        <f>(480 - Tabla1[Minutos_Paro]) / 60</f>
        <v>8</v>
      </c>
      <c r="J343" t="str">
        <f>IF(Tabla1[Unidades_Defectuosas] &gt; Tabla1[Unidades_Producidas], "ERROR", "OK")</f>
        <v>OK</v>
      </c>
      <c r="K343" s="1">
        <f>Tabla1[Minutos_Paro] / Tabla1[Unidades_Producidas]</f>
        <v>0</v>
      </c>
      <c r="L343">
        <f>Tabla1[Unidades_Producidas] - Tabla1[Unidades_Defectuosas]</f>
        <v>171</v>
      </c>
      <c r="M343" s="3" t="str">
        <f>IF(Tabla1[Minutos_Paro]=0,"Nula",IF(Tabla1[Minutos_Paro]&lt;30,"Baja",IF(Tabla1[Minutos_Paro]&lt;60,"Media","Alta")))</f>
        <v>Nula</v>
      </c>
      <c r="N343" s="3">
        <f>250</f>
        <v>250</v>
      </c>
      <c r="O343" s="4">
        <f>Tabla1[Unidades_Defectuosas] / Tabla1[Unidades_Producidas]</f>
        <v>7.567567567567568E-2</v>
      </c>
      <c r="P343" s="4">
        <f>Tabla1[Unidades_Buenas] / Tabla1[Unidades_Producidas]</f>
        <v>0.92432432432432432</v>
      </c>
      <c r="Q343" s="3">
        <f>IF(Tabla1[Tipo_Defecto_Principal]="Falla de material", 3, IF(Tabla1[Tipo_Defecto_Principal]="Dimensión fuera de especificación", 2, 1))</f>
        <v>2</v>
      </c>
    </row>
    <row r="344" spans="1:17" x14ac:dyDescent="0.3">
      <c r="A344" s="2">
        <v>45228</v>
      </c>
      <c r="B344" t="s">
        <v>17</v>
      </c>
      <c r="C344" t="s">
        <v>13</v>
      </c>
      <c r="D344">
        <v>212</v>
      </c>
      <c r="E344">
        <v>6</v>
      </c>
      <c r="F344" t="s">
        <v>16</v>
      </c>
      <c r="G344">
        <v>0</v>
      </c>
      <c r="H344" t="s">
        <v>26</v>
      </c>
      <c r="I344">
        <f>(480 - Tabla1[Minutos_Paro]) / 60</f>
        <v>8</v>
      </c>
      <c r="J344" t="str">
        <f>IF(Tabla1[Unidades_Defectuosas] &gt; Tabla1[Unidades_Producidas], "ERROR", "OK")</f>
        <v>OK</v>
      </c>
      <c r="K344" s="1">
        <f>Tabla1[Minutos_Paro] / Tabla1[Unidades_Producidas]</f>
        <v>0</v>
      </c>
      <c r="L344">
        <f>Tabla1[Unidades_Producidas] - Tabla1[Unidades_Defectuosas]</f>
        <v>206</v>
      </c>
      <c r="M344" s="3" t="str">
        <f>IF(Tabla1[Minutos_Paro]=0,"Nula",IF(Tabla1[Minutos_Paro]&lt;30,"Baja",IF(Tabla1[Minutos_Paro]&lt;60,"Media","Alta")))</f>
        <v>Nula</v>
      </c>
      <c r="N344" s="3">
        <f>250</f>
        <v>250</v>
      </c>
      <c r="O344" s="4">
        <f>Tabla1[Unidades_Defectuosas] / Tabla1[Unidades_Producidas]</f>
        <v>2.8301886792452831E-2</v>
      </c>
      <c r="P344" s="4">
        <f>Tabla1[Unidades_Buenas] / Tabla1[Unidades_Producidas]</f>
        <v>0.97169811320754718</v>
      </c>
      <c r="Q344" s="3">
        <f>IF(Tabla1[Tipo_Defecto_Principal]="Falla de material", 3, IF(Tabla1[Tipo_Defecto_Principal]="Dimensión fuera de especificación", 2, 1))</f>
        <v>1</v>
      </c>
    </row>
    <row r="345" spans="1:17" x14ac:dyDescent="0.3">
      <c r="A345" s="2">
        <v>45228</v>
      </c>
      <c r="B345" t="s">
        <v>17</v>
      </c>
      <c r="C345" t="s">
        <v>15</v>
      </c>
      <c r="D345">
        <v>235</v>
      </c>
      <c r="E345">
        <v>9</v>
      </c>
      <c r="F345" t="s">
        <v>16</v>
      </c>
      <c r="G345">
        <v>0</v>
      </c>
      <c r="H345" t="s">
        <v>26</v>
      </c>
      <c r="I345">
        <f>(480 - Tabla1[Minutos_Paro]) / 60</f>
        <v>8</v>
      </c>
      <c r="J345" t="str">
        <f>IF(Tabla1[Unidades_Defectuosas] &gt; Tabla1[Unidades_Producidas], "ERROR", "OK")</f>
        <v>OK</v>
      </c>
      <c r="K345" s="1">
        <f>Tabla1[Minutos_Paro] / Tabla1[Unidades_Producidas]</f>
        <v>0</v>
      </c>
      <c r="L345">
        <f>Tabla1[Unidades_Producidas] - Tabla1[Unidades_Defectuosas]</f>
        <v>226</v>
      </c>
      <c r="M345" s="3" t="str">
        <f>IF(Tabla1[Minutos_Paro]=0,"Nula",IF(Tabla1[Minutos_Paro]&lt;30,"Baja",IF(Tabla1[Minutos_Paro]&lt;60,"Media","Alta")))</f>
        <v>Nula</v>
      </c>
      <c r="N345" s="3">
        <f>250</f>
        <v>250</v>
      </c>
      <c r="O345" s="4">
        <f>Tabla1[Unidades_Defectuosas] / Tabla1[Unidades_Producidas]</f>
        <v>3.8297872340425532E-2</v>
      </c>
      <c r="P345" s="4">
        <f>Tabla1[Unidades_Buenas] / Tabla1[Unidades_Producidas]</f>
        <v>0.96170212765957441</v>
      </c>
      <c r="Q345" s="3">
        <f>IF(Tabla1[Tipo_Defecto_Principal]="Falla de material", 3, IF(Tabla1[Tipo_Defecto_Principal]="Dimensión fuera de especificación", 2, 1))</f>
        <v>1</v>
      </c>
    </row>
    <row r="346" spans="1:17" x14ac:dyDescent="0.3">
      <c r="A346" s="2">
        <v>45228</v>
      </c>
      <c r="B346" t="s">
        <v>19</v>
      </c>
      <c r="C346" t="s">
        <v>9</v>
      </c>
      <c r="D346">
        <v>238</v>
      </c>
      <c r="E346">
        <v>10</v>
      </c>
      <c r="F346" t="s">
        <v>14</v>
      </c>
      <c r="G346">
        <v>0</v>
      </c>
      <c r="H346" t="s">
        <v>26</v>
      </c>
      <c r="I346">
        <f>(480 - Tabla1[Minutos_Paro]) / 60</f>
        <v>8</v>
      </c>
      <c r="J346" t="str">
        <f>IF(Tabla1[Unidades_Defectuosas] &gt; Tabla1[Unidades_Producidas], "ERROR", "OK")</f>
        <v>OK</v>
      </c>
      <c r="K346" s="1">
        <f>Tabla1[Minutos_Paro] / Tabla1[Unidades_Producidas]</f>
        <v>0</v>
      </c>
      <c r="L346">
        <f>Tabla1[Unidades_Producidas] - Tabla1[Unidades_Defectuosas]</f>
        <v>228</v>
      </c>
      <c r="M346" s="3" t="str">
        <f>IF(Tabla1[Minutos_Paro]=0,"Nula",IF(Tabla1[Minutos_Paro]&lt;30,"Baja",IF(Tabla1[Minutos_Paro]&lt;60,"Media","Alta")))</f>
        <v>Nula</v>
      </c>
      <c r="N346" s="3">
        <f>250</f>
        <v>250</v>
      </c>
      <c r="O346" s="4">
        <f>Tabla1[Unidades_Defectuosas] / Tabla1[Unidades_Producidas]</f>
        <v>4.2016806722689079E-2</v>
      </c>
      <c r="P346" s="4">
        <f>Tabla1[Unidades_Buenas] / Tabla1[Unidades_Producidas]</f>
        <v>0.95798319327731096</v>
      </c>
      <c r="Q346" s="3">
        <f>IF(Tabla1[Tipo_Defecto_Principal]="Falla de material", 3, IF(Tabla1[Tipo_Defecto_Principal]="Dimensión fuera de especificación", 2, 1))</f>
        <v>3</v>
      </c>
    </row>
    <row r="347" spans="1:17" x14ac:dyDescent="0.3">
      <c r="A347" s="2">
        <v>45228</v>
      </c>
      <c r="B347" t="s">
        <v>19</v>
      </c>
      <c r="C347" t="s">
        <v>12</v>
      </c>
      <c r="D347">
        <v>223</v>
      </c>
      <c r="E347">
        <v>16</v>
      </c>
      <c r="F347" t="s">
        <v>10</v>
      </c>
      <c r="G347">
        <v>0</v>
      </c>
      <c r="H347" t="s">
        <v>26</v>
      </c>
      <c r="I347">
        <f>(480 - Tabla1[Minutos_Paro]) / 60</f>
        <v>8</v>
      </c>
      <c r="J347" t="str">
        <f>IF(Tabla1[Unidades_Defectuosas] &gt; Tabla1[Unidades_Producidas], "ERROR", "OK")</f>
        <v>OK</v>
      </c>
      <c r="K347" s="1">
        <f>Tabla1[Minutos_Paro] / Tabla1[Unidades_Producidas]</f>
        <v>0</v>
      </c>
      <c r="L347">
        <f>Tabla1[Unidades_Producidas] - Tabla1[Unidades_Defectuosas]</f>
        <v>207</v>
      </c>
      <c r="M347" s="3" t="str">
        <f>IF(Tabla1[Minutos_Paro]=0,"Nula",IF(Tabla1[Minutos_Paro]&lt;30,"Baja",IF(Tabla1[Minutos_Paro]&lt;60,"Media","Alta")))</f>
        <v>Nula</v>
      </c>
      <c r="N347" s="3">
        <f>250</f>
        <v>250</v>
      </c>
      <c r="O347" s="4">
        <f>Tabla1[Unidades_Defectuosas] / Tabla1[Unidades_Producidas]</f>
        <v>7.1748878923766815E-2</v>
      </c>
      <c r="P347" s="4">
        <f>Tabla1[Unidades_Buenas] / Tabla1[Unidades_Producidas]</f>
        <v>0.9282511210762332</v>
      </c>
      <c r="Q347" s="3">
        <f>IF(Tabla1[Tipo_Defecto_Principal]="Falla de material", 3, IF(Tabla1[Tipo_Defecto_Principal]="Dimensión fuera de especificación", 2, 1))</f>
        <v>2</v>
      </c>
    </row>
    <row r="348" spans="1:17" x14ac:dyDescent="0.3">
      <c r="A348" s="2">
        <v>45228</v>
      </c>
      <c r="B348" t="s">
        <v>19</v>
      </c>
      <c r="C348" t="s">
        <v>13</v>
      </c>
      <c r="D348">
        <v>222</v>
      </c>
      <c r="E348">
        <v>5</v>
      </c>
      <c r="F348" t="s">
        <v>14</v>
      </c>
      <c r="G348">
        <v>0</v>
      </c>
      <c r="H348" t="s">
        <v>26</v>
      </c>
      <c r="I348">
        <f>(480 - Tabla1[Minutos_Paro]) / 60</f>
        <v>8</v>
      </c>
      <c r="J348" t="str">
        <f>IF(Tabla1[Unidades_Defectuosas] &gt; Tabla1[Unidades_Producidas], "ERROR", "OK")</f>
        <v>OK</v>
      </c>
      <c r="K348" s="1">
        <f>Tabla1[Minutos_Paro] / Tabla1[Unidades_Producidas]</f>
        <v>0</v>
      </c>
      <c r="L348">
        <f>Tabla1[Unidades_Producidas] - Tabla1[Unidades_Defectuosas]</f>
        <v>217</v>
      </c>
      <c r="M348" s="3" t="str">
        <f>IF(Tabla1[Minutos_Paro]=0,"Nula",IF(Tabla1[Minutos_Paro]&lt;30,"Baja",IF(Tabla1[Minutos_Paro]&lt;60,"Media","Alta")))</f>
        <v>Nula</v>
      </c>
      <c r="N348" s="3">
        <f>250</f>
        <v>250</v>
      </c>
      <c r="O348" s="4">
        <f>Tabla1[Unidades_Defectuosas] / Tabla1[Unidades_Producidas]</f>
        <v>2.2522522522522521E-2</v>
      </c>
      <c r="P348" s="4">
        <f>Tabla1[Unidades_Buenas] / Tabla1[Unidades_Producidas]</f>
        <v>0.97747747747747749</v>
      </c>
      <c r="Q348" s="3">
        <f>IF(Tabla1[Tipo_Defecto_Principal]="Falla de material", 3, IF(Tabla1[Tipo_Defecto_Principal]="Dimensión fuera de especificación", 2, 1))</f>
        <v>3</v>
      </c>
    </row>
    <row r="349" spans="1:17" x14ac:dyDescent="0.3">
      <c r="A349" s="2">
        <v>45228</v>
      </c>
      <c r="B349" t="s">
        <v>19</v>
      </c>
      <c r="C349" t="s">
        <v>15</v>
      </c>
      <c r="D349">
        <v>246</v>
      </c>
      <c r="E349">
        <v>1</v>
      </c>
      <c r="F349" t="s">
        <v>14</v>
      </c>
      <c r="G349">
        <v>30</v>
      </c>
      <c r="H349" t="s">
        <v>24</v>
      </c>
      <c r="I349">
        <f>(480 - Tabla1[Minutos_Paro]) / 60</f>
        <v>7.5</v>
      </c>
      <c r="J349" t="str">
        <f>IF(Tabla1[Unidades_Defectuosas] &gt; Tabla1[Unidades_Producidas], "ERROR", "OK")</f>
        <v>OK</v>
      </c>
      <c r="K349" s="1">
        <f>Tabla1[Minutos_Paro] / Tabla1[Unidades_Producidas]</f>
        <v>0.12195121951219512</v>
      </c>
      <c r="L349">
        <f>Tabla1[Unidades_Producidas] - Tabla1[Unidades_Defectuosas]</f>
        <v>245</v>
      </c>
      <c r="M349" s="3" t="str">
        <f>IF(Tabla1[Minutos_Paro]=0,"Nula",IF(Tabla1[Minutos_Paro]&lt;30,"Baja",IF(Tabla1[Minutos_Paro]&lt;60,"Media","Alta")))</f>
        <v>Media</v>
      </c>
      <c r="N349" s="3">
        <f>250</f>
        <v>250</v>
      </c>
      <c r="O349" s="4">
        <f>Tabla1[Unidades_Defectuosas] / Tabla1[Unidades_Producidas]</f>
        <v>4.0650406504065045E-3</v>
      </c>
      <c r="P349" s="4">
        <f>Tabla1[Unidades_Buenas] / Tabla1[Unidades_Producidas]</f>
        <v>0.99593495934959353</v>
      </c>
      <c r="Q349" s="3">
        <f>IF(Tabla1[Tipo_Defecto_Principal]="Falla de material", 3, IF(Tabla1[Tipo_Defecto_Principal]="Dimensión fuera de especificación", 2, 1))</f>
        <v>3</v>
      </c>
    </row>
    <row r="350" spans="1:17" x14ac:dyDescent="0.3">
      <c r="A350" s="2">
        <v>45229</v>
      </c>
      <c r="B350" t="s">
        <v>8</v>
      </c>
      <c r="C350" t="s">
        <v>9</v>
      </c>
      <c r="D350">
        <v>213</v>
      </c>
      <c r="E350">
        <v>9</v>
      </c>
      <c r="F350" t="s">
        <v>16</v>
      </c>
      <c r="G350">
        <v>0</v>
      </c>
      <c r="H350" t="s">
        <v>26</v>
      </c>
      <c r="I350">
        <f>(480 - Tabla1[Minutos_Paro]) / 60</f>
        <v>8</v>
      </c>
      <c r="J350" t="str">
        <f>IF(Tabla1[Unidades_Defectuosas] &gt; Tabla1[Unidades_Producidas], "ERROR", "OK")</f>
        <v>OK</v>
      </c>
      <c r="K350" s="1">
        <f>Tabla1[Minutos_Paro] / Tabla1[Unidades_Producidas]</f>
        <v>0</v>
      </c>
      <c r="L350">
        <f>Tabla1[Unidades_Producidas] - Tabla1[Unidades_Defectuosas]</f>
        <v>204</v>
      </c>
      <c r="M350" s="3" t="str">
        <f>IF(Tabla1[Minutos_Paro]=0,"Nula",IF(Tabla1[Minutos_Paro]&lt;30,"Baja",IF(Tabla1[Minutos_Paro]&lt;60,"Media","Alta")))</f>
        <v>Nula</v>
      </c>
      <c r="N350" s="3">
        <f>250</f>
        <v>250</v>
      </c>
      <c r="O350" s="4">
        <f>Tabla1[Unidades_Defectuosas] / Tabla1[Unidades_Producidas]</f>
        <v>4.2253521126760563E-2</v>
      </c>
      <c r="P350" s="4">
        <f>Tabla1[Unidades_Buenas] / Tabla1[Unidades_Producidas]</f>
        <v>0.95774647887323938</v>
      </c>
      <c r="Q350" s="3">
        <f>IF(Tabla1[Tipo_Defecto_Principal]="Falla de material", 3, IF(Tabla1[Tipo_Defecto_Principal]="Dimensión fuera de especificación", 2, 1))</f>
        <v>1</v>
      </c>
    </row>
    <row r="351" spans="1:17" x14ac:dyDescent="0.3">
      <c r="A351" s="2">
        <v>45229</v>
      </c>
      <c r="B351" t="s">
        <v>8</v>
      </c>
      <c r="C351" t="s">
        <v>12</v>
      </c>
      <c r="D351">
        <v>232</v>
      </c>
      <c r="E351">
        <v>17</v>
      </c>
      <c r="F351" t="s">
        <v>16</v>
      </c>
      <c r="G351">
        <v>0</v>
      </c>
      <c r="H351" t="s">
        <v>26</v>
      </c>
      <c r="I351">
        <f>(480 - Tabla1[Minutos_Paro]) / 60</f>
        <v>8</v>
      </c>
      <c r="J351" t="str">
        <f>IF(Tabla1[Unidades_Defectuosas] &gt; Tabla1[Unidades_Producidas], "ERROR", "OK")</f>
        <v>OK</v>
      </c>
      <c r="K351" s="1">
        <f>Tabla1[Minutos_Paro] / Tabla1[Unidades_Producidas]</f>
        <v>0</v>
      </c>
      <c r="L351">
        <f>Tabla1[Unidades_Producidas] - Tabla1[Unidades_Defectuosas]</f>
        <v>215</v>
      </c>
      <c r="M351" s="3" t="str">
        <f>IF(Tabla1[Minutos_Paro]=0,"Nula",IF(Tabla1[Minutos_Paro]&lt;30,"Baja",IF(Tabla1[Minutos_Paro]&lt;60,"Media","Alta")))</f>
        <v>Nula</v>
      </c>
      <c r="N351" s="3">
        <f>250</f>
        <v>250</v>
      </c>
      <c r="O351" s="4">
        <f>Tabla1[Unidades_Defectuosas] / Tabla1[Unidades_Producidas]</f>
        <v>7.3275862068965511E-2</v>
      </c>
      <c r="P351" s="4">
        <f>Tabla1[Unidades_Buenas] / Tabla1[Unidades_Producidas]</f>
        <v>0.92672413793103448</v>
      </c>
      <c r="Q351" s="3">
        <f>IF(Tabla1[Tipo_Defecto_Principal]="Falla de material", 3, IF(Tabla1[Tipo_Defecto_Principal]="Dimensión fuera de especificación", 2, 1))</f>
        <v>1</v>
      </c>
    </row>
    <row r="352" spans="1:17" x14ac:dyDescent="0.3">
      <c r="A352" s="2">
        <v>45229</v>
      </c>
      <c r="B352" t="s">
        <v>8</v>
      </c>
      <c r="C352" t="s">
        <v>13</v>
      </c>
      <c r="D352">
        <v>237</v>
      </c>
      <c r="E352">
        <v>7</v>
      </c>
      <c r="F352" t="s">
        <v>18</v>
      </c>
      <c r="G352">
        <v>0</v>
      </c>
      <c r="H352" t="s">
        <v>26</v>
      </c>
      <c r="I352">
        <f>(480 - Tabla1[Minutos_Paro]) / 60</f>
        <v>8</v>
      </c>
      <c r="J352" t="str">
        <f>IF(Tabla1[Unidades_Defectuosas] &gt; Tabla1[Unidades_Producidas], "ERROR", "OK")</f>
        <v>OK</v>
      </c>
      <c r="K352" s="1">
        <f>Tabla1[Minutos_Paro] / Tabla1[Unidades_Producidas]</f>
        <v>0</v>
      </c>
      <c r="L352">
        <f>Tabla1[Unidades_Producidas] - Tabla1[Unidades_Defectuosas]</f>
        <v>230</v>
      </c>
      <c r="M352" s="3" t="str">
        <f>IF(Tabla1[Minutos_Paro]=0,"Nula",IF(Tabla1[Minutos_Paro]&lt;30,"Baja",IF(Tabla1[Minutos_Paro]&lt;60,"Media","Alta")))</f>
        <v>Nula</v>
      </c>
      <c r="N352" s="3">
        <f>250</f>
        <v>250</v>
      </c>
      <c r="O352" s="4">
        <f>Tabla1[Unidades_Defectuosas] / Tabla1[Unidades_Producidas]</f>
        <v>2.9535864978902954E-2</v>
      </c>
      <c r="P352" s="4">
        <f>Tabla1[Unidades_Buenas] / Tabla1[Unidades_Producidas]</f>
        <v>0.97046413502109707</v>
      </c>
      <c r="Q352" s="3">
        <f>IF(Tabla1[Tipo_Defecto_Principal]="Falla de material", 3, IF(Tabla1[Tipo_Defecto_Principal]="Dimensión fuera de especificación", 2, 1))</f>
        <v>1</v>
      </c>
    </row>
    <row r="353" spans="1:17" x14ac:dyDescent="0.3">
      <c r="A353" s="2">
        <v>45229</v>
      </c>
      <c r="B353" t="s">
        <v>8</v>
      </c>
      <c r="C353" t="s">
        <v>15</v>
      </c>
      <c r="D353">
        <v>220</v>
      </c>
      <c r="E353">
        <v>12</v>
      </c>
      <c r="F353" t="s">
        <v>16</v>
      </c>
      <c r="G353">
        <v>0</v>
      </c>
      <c r="H353" t="s">
        <v>26</v>
      </c>
      <c r="I353">
        <f>(480 - Tabla1[Minutos_Paro]) / 60</f>
        <v>8</v>
      </c>
      <c r="J353" t="str">
        <f>IF(Tabla1[Unidades_Defectuosas] &gt; Tabla1[Unidades_Producidas], "ERROR", "OK")</f>
        <v>OK</v>
      </c>
      <c r="K353" s="1">
        <f>Tabla1[Minutos_Paro] / Tabla1[Unidades_Producidas]</f>
        <v>0</v>
      </c>
      <c r="L353">
        <f>Tabla1[Unidades_Producidas] - Tabla1[Unidades_Defectuosas]</f>
        <v>208</v>
      </c>
      <c r="M353" s="3" t="str">
        <f>IF(Tabla1[Minutos_Paro]=0,"Nula",IF(Tabla1[Minutos_Paro]&lt;30,"Baja",IF(Tabla1[Minutos_Paro]&lt;60,"Media","Alta")))</f>
        <v>Nula</v>
      </c>
      <c r="N353" s="3">
        <f>250</f>
        <v>250</v>
      </c>
      <c r="O353" s="4">
        <f>Tabla1[Unidades_Defectuosas] / Tabla1[Unidades_Producidas]</f>
        <v>5.4545454545454543E-2</v>
      </c>
      <c r="P353" s="4">
        <f>Tabla1[Unidades_Buenas] / Tabla1[Unidades_Producidas]</f>
        <v>0.94545454545454544</v>
      </c>
      <c r="Q353" s="3">
        <f>IF(Tabla1[Tipo_Defecto_Principal]="Falla de material", 3, IF(Tabla1[Tipo_Defecto_Principal]="Dimensión fuera de especificación", 2, 1))</f>
        <v>1</v>
      </c>
    </row>
    <row r="354" spans="1:17" x14ac:dyDescent="0.3">
      <c r="A354" s="2">
        <v>45229</v>
      </c>
      <c r="B354" t="s">
        <v>17</v>
      </c>
      <c r="C354" t="s">
        <v>9</v>
      </c>
      <c r="D354">
        <v>194</v>
      </c>
      <c r="E354">
        <v>5</v>
      </c>
      <c r="F354" t="s">
        <v>16</v>
      </c>
      <c r="G354">
        <v>0</v>
      </c>
      <c r="H354" t="s">
        <v>26</v>
      </c>
      <c r="I354">
        <f>(480 - Tabla1[Minutos_Paro]) / 60</f>
        <v>8</v>
      </c>
      <c r="J354" t="str">
        <f>IF(Tabla1[Unidades_Defectuosas] &gt; Tabla1[Unidades_Producidas], "ERROR", "OK")</f>
        <v>OK</v>
      </c>
      <c r="K354" s="1">
        <f>Tabla1[Minutos_Paro] / Tabla1[Unidades_Producidas]</f>
        <v>0</v>
      </c>
      <c r="L354">
        <f>Tabla1[Unidades_Producidas] - Tabla1[Unidades_Defectuosas]</f>
        <v>189</v>
      </c>
      <c r="M354" s="3" t="str">
        <f>IF(Tabla1[Minutos_Paro]=0,"Nula",IF(Tabla1[Minutos_Paro]&lt;30,"Baja",IF(Tabla1[Minutos_Paro]&lt;60,"Media","Alta")))</f>
        <v>Nula</v>
      </c>
      <c r="N354" s="3">
        <f>250</f>
        <v>250</v>
      </c>
      <c r="O354" s="4">
        <f>Tabla1[Unidades_Defectuosas] / Tabla1[Unidades_Producidas]</f>
        <v>2.5773195876288658E-2</v>
      </c>
      <c r="P354" s="4">
        <f>Tabla1[Unidades_Buenas] / Tabla1[Unidades_Producidas]</f>
        <v>0.97422680412371132</v>
      </c>
      <c r="Q354" s="3">
        <f>IF(Tabla1[Tipo_Defecto_Principal]="Falla de material", 3, IF(Tabla1[Tipo_Defecto_Principal]="Dimensión fuera de especificación", 2, 1))</f>
        <v>1</v>
      </c>
    </row>
    <row r="355" spans="1:17" x14ac:dyDescent="0.3">
      <c r="A355" s="2">
        <v>45229</v>
      </c>
      <c r="B355" t="s">
        <v>17</v>
      </c>
      <c r="C355" t="s">
        <v>12</v>
      </c>
      <c r="D355">
        <v>247</v>
      </c>
      <c r="E355">
        <v>17</v>
      </c>
      <c r="F355" t="s">
        <v>10</v>
      </c>
      <c r="G355">
        <v>0</v>
      </c>
      <c r="H355" t="s">
        <v>26</v>
      </c>
      <c r="I355">
        <f>(480 - Tabla1[Minutos_Paro]) / 60</f>
        <v>8</v>
      </c>
      <c r="J355" t="str">
        <f>IF(Tabla1[Unidades_Defectuosas] &gt; Tabla1[Unidades_Producidas], "ERROR", "OK")</f>
        <v>OK</v>
      </c>
      <c r="K355" s="1">
        <f>Tabla1[Minutos_Paro] / Tabla1[Unidades_Producidas]</f>
        <v>0</v>
      </c>
      <c r="L355">
        <f>Tabla1[Unidades_Producidas] - Tabla1[Unidades_Defectuosas]</f>
        <v>230</v>
      </c>
      <c r="M355" s="3" t="str">
        <f>IF(Tabla1[Minutos_Paro]=0,"Nula",IF(Tabla1[Minutos_Paro]&lt;30,"Baja",IF(Tabla1[Minutos_Paro]&lt;60,"Media","Alta")))</f>
        <v>Nula</v>
      </c>
      <c r="N355" s="3">
        <f>250</f>
        <v>250</v>
      </c>
      <c r="O355" s="4">
        <f>Tabla1[Unidades_Defectuosas] / Tabla1[Unidades_Producidas]</f>
        <v>6.8825910931174086E-2</v>
      </c>
      <c r="P355" s="4">
        <f>Tabla1[Unidades_Buenas] / Tabla1[Unidades_Producidas]</f>
        <v>0.93117408906882593</v>
      </c>
      <c r="Q355" s="3">
        <f>IF(Tabla1[Tipo_Defecto_Principal]="Falla de material", 3, IF(Tabla1[Tipo_Defecto_Principal]="Dimensión fuera de especificación", 2, 1))</f>
        <v>2</v>
      </c>
    </row>
    <row r="356" spans="1:17" x14ac:dyDescent="0.3">
      <c r="A356" s="2">
        <v>45229</v>
      </c>
      <c r="B356" t="s">
        <v>17</v>
      </c>
      <c r="C356" t="s">
        <v>13</v>
      </c>
      <c r="D356">
        <v>203</v>
      </c>
      <c r="E356">
        <v>7</v>
      </c>
      <c r="F356" t="s">
        <v>14</v>
      </c>
      <c r="G356">
        <v>0</v>
      </c>
      <c r="H356" t="s">
        <v>26</v>
      </c>
      <c r="I356">
        <f>(480 - Tabla1[Minutos_Paro]) / 60</f>
        <v>8</v>
      </c>
      <c r="J356" t="str">
        <f>IF(Tabla1[Unidades_Defectuosas] &gt; Tabla1[Unidades_Producidas], "ERROR", "OK")</f>
        <v>OK</v>
      </c>
      <c r="K356" s="1">
        <f>Tabla1[Minutos_Paro] / Tabla1[Unidades_Producidas]</f>
        <v>0</v>
      </c>
      <c r="L356">
        <f>Tabla1[Unidades_Producidas] - Tabla1[Unidades_Defectuosas]</f>
        <v>196</v>
      </c>
      <c r="M356" s="3" t="str">
        <f>IF(Tabla1[Minutos_Paro]=0,"Nula",IF(Tabla1[Minutos_Paro]&lt;30,"Baja",IF(Tabla1[Minutos_Paro]&lt;60,"Media","Alta")))</f>
        <v>Nula</v>
      </c>
      <c r="N356" s="3">
        <f>250</f>
        <v>250</v>
      </c>
      <c r="O356" s="4">
        <f>Tabla1[Unidades_Defectuosas] / Tabla1[Unidades_Producidas]</f>
        <v>3.4482758620689655E-2</v>
      </c>
      <c r="P356" s="4">
        <f>Tabla1[Unidades_Buenas] / Tabla1[Unidades_Producidas]</f>
        <v>0.96551724137931039</v>
      </c>
      <c r="Q356" s="3">
        <f>IF(Tabla1[Tipo_Defecto_Principal]="Falla de material", 3, IF(Tabla1[Tipo_Defecto_Principal]="Dimensión fuera de especificación", 2, 1))</f>
        <v>3</v>
      </c>
    </row>
    <row r="357" spans="1:17" x14ac:dyDescent="0.3">
      <c r="A357" s="2">
        <v>45229</v>
      </c>
      <c r="B357" t="s">
        <v>17</v>
      </c>
      <c r="C357" t="s">
        <v>15</v>
      </c>
      <c r="D357">
        <v>202</v>
      </c>
      <c r="E357">
        <v>6</v>
      </c>
      <c r="F357" t="s">
        <v>16</v>
      </c>
      <c r="G357">
        <v>0</v>
      </c>
      <c r="H357" t="s">
        <v>26</v>
      </c>
      <c r="I357">
        <f>(480 - Tabla1[Minutos_Paro]) / 60</f>
        <v>8</v>
      </c>
      <c r="J357" t="str">
        <f>IF(Tabla1[Unidades_Defectuosas] &gt; Tabla1[Unidades_Producidas], "ERROR", "OK")</f>
        <v>OK</v>
      </c>
      <c r="K357" s="1">
        <f>Tabla1[Minutos_Paro] / Tabla1[Unidades_Producidas]</f>
        <v>0</v>
      </c>
      <c r="L357">
        <f>Tabla1[Unidades_Producidas] - Tabla1[Unidades_Defectuosas]</f>
        <v>196</v>
      </c>
      <c r="M357" s="3" t="str">
        <f>IF(Tabla1[Minutos_Paro]=0,"Nula",IF(Tabla1[Minutos_Paro]&lt;30,"Baja",IF(Tabla1[Minutos_Paro]&lt;60,"Media","Alta")))</f>
        <v>Nula</v>
      </c>
      <c r="N357" s="3">
        <f>250</f>
        <v>250</v>
      </c>
      <c r="O357" s="4">
        <f>Tabla1[Unidades_Defectuosas] / Tabla1[Unidades_Producidas]</f>
        <v>2.9702970297029702E-2</v>
      </c>
      <c r="P357" s="4">
        <f>Tabla1[Unidades_Buenas] / Tabla1[Unidades_Producidas]</f>
        <v>0.97029702970297027</v>
      </c>
      <c r="Q357" s="3">
        <f>IF(Tabla1[Tipo_Defecto_Principal]="Falla de material", 3, IF(Tabla1[Tipo_Defecto_Principal]="Dimensión fuera de especificación", 2, 1))</f>
        <v>1</v>
      </c>
    </row>
    <row r="358" spans="1:17" x14ac:dyDescent="0.3">
      <c r="A358" s="2">
        <v>45229</v>
      </c>
      <c r="B358" t="s">
        <v>19</v>
      </c>
      <c r="C358" t="s">
        <v>9</v>
      </c>
      <c r="D358">
        <v>219</v>
      </c>
      <c r="E358">
        <v>4</v>
      </c>
      <c r="F358" t="s">
        <v>16</v>
      </c>
      <c r="G358">
        <v>0</v>
      </c>
      <c r="H358" t="s">
        <v>26</v>
      </c>
      <c r="I358">
        <f>(480 - Tabla1[Minutos_Paro]) / 60</f>
        <v>8</v>
      </c>
      <c r="J358" t="str">
        <f>IF(Tabla1[Unidades_Defectuosas] &gt; Tabla1[Unidades_Producidas], "ERROR", "OK")</f>
        <v>OK</v>
      </c>
      <c r="K358" s="1">
        <f>Tabla1[Minutos_Paro] / Tabla1[Unidades_Producidas]</f>
        <v>0</v>
      </c>
      <c r="L358">
        <f>Tabla1[Unidades_Producidas] - Tabla1[Unidades_Defectuosas]</f>
        <v>215</v>
      </c>
      <c r="M358" s="3" t="str">
        <f>IF(Tabla1[Minutos_Paro]=0,"Nula",IF(Tabla1[Minutos_Paro]&lt;30,"Baja",IF(Tabla1[Minutos_Paro]&lt;60,"Media","Alta")))</f>
        <v>Nula</v>
      </c>
      <c r="N358" s="3">
        <f>250</f>
        <v>250</v>
      </c>
      <c r="O358" s="4">
        <f>Tabla1[Unidades_Defectuosas] / Tabla1[Unidades_Producidas]</f>
        <v>1.8264840182648401E-2</v>
      </c>
      <c r="P358" s="4">
        <f>Tabla1[Unidades_Buenas] / Tabla1[Unidades_Producidas]</f>
        <v>0.9817351598173516</v>
      </c>
      <c r="Q358" s="3">
        <f>IF(Tabla1[Tipo_Defecto_Principal]="Falla de material", 3, IF(Tabla1[Tipo_Defecto_Principal]="Dimensión fuera de especificación", 2, 1))</f>
        <v>1</v>
      </c>
    </row>
    <row r="359" spans="1:17" x14ac:dyDescent="0.3">
      <c r="A359" s="2">
        <v>45229</v>
      </c>
      <c r="B359" t="s">
        <v>19</v>
      </c>
      <c r="C359" t="s">
        <v>12</v>
      </c>
      <c r="D359">
        <v>217</v>
      </c>
      <c r="E359">
        <v>20</v>
      </c>
      <c r="F359" t="s">
        <v>16</v>
      </c>
      <c r="G359">
        <v>0</v>
      </c>
      <c r="H359" t="s">
        <v>26</v>
      </c>
      <c r="I359">
        <f>(480 - Tabla1[Minutos_Paro]) / 60</f>
        <v>8</v>
      </c>
      <c r="J359" t="str">
        <f>IF(Tabla1[Unidades_Defectuosas] &gt; Tabla1[Unidades_Producidas], "ERROR", "OK")</f>
        <v>OK</v>
      </c>
      <c r="K359" s="1">
        <f>Tabla1[Minutos_Paro] / Tabla1[Unidades_Producidas]</f>
        <v>0</v>
      </c>
      <c r="L359">
        <f>Tabla1[Unidades_Producidas] - Tabla1[Unidades_Defectuosas]</f>
        <v>197</v>
      </c>
      <c r="M359" s="3" t="str">
        <f>IF(Tabla1[Minutos_Paro]=0,"Nula",IF(Tabla1[Minutos_Paro]&lt;30,"Baja",IF(Tabla1[Minutos_Paro]&lt;60,"Media","Alta")))</f>
        <v>Nula</v>
      </c>
      <c r="N359" s="3">
        <f>250</f>
        <v>250</v>
      </c>
      <c r="O359" s="4">
        <f>Tabla1[Unidades_Defectuosas] / Tabla1[Unidades_Producidas]</f>
        <v>9.2165898617511524E-2</v>
      </c>
      <c r="P359" s="4">
        <f>Tabla1[Unidades_Buenas] / Tabla1[Unidades_Producidas]</f>
        <v>0.90783410138248843</v>
      </c>
      <c r="Q359" s="3">
        <f>IF(Tabla1[Tipo_Defecto_Principal]="Falla de material", 3, IF(Tabla1[Tipo_Defecto_Principal]="Dimensión fuera de especificación", 2, 1))</f>
        <v>1</v>
      </c>
    </row>
    <row r="360" spans="1:17" x14ac:dyDescent="0.3">
      <c r="A360" s="2">
        <v>45229</v>
      </c>
      <c r="B360" t="s">
        <v>19</v>
      </c>
      <c r="C360" t="s">
        <v>13</v>
      </c>
      <c r="D360">
        <v>192</v>
      </c>
      <c r="E360">
        <v>6</v>
      </c>
      <c r="F360" t="s">
        <v>14</v>
      </c>
      <c r="G360">
        <v>30</v>
      </c>
      <c r="H360" t="s">
        <v>11</v>
      </c>
      <c r="I360">
        <f>(480 - Tabla1[Minutos_Paro]) / 60</f>
        <v>7.5</v>
      </c>
      <c r="J360" t="str">
        <f>IF(Tabla1[Unidades_Defectuosas] &gt; Tabla1[Unidades_Producidas], "ERROR", "OK")</f>
        <v>OK</v>
      </c>
      <c r="K360" s="1">
        <f>Tabla1[Minutos_Paro] / Tabla1[Unidades_Producidas]</f>
        <v>0.15625</v>
      </c>
      <c r="L360">
        <f>Tabla1[Unidades_Producidas] - Tabla1[Unidades_Defectuosas]</f>
        <v>186</v>
      </c>
      <c r="M360" s="3" t="str">
        <f>IF(Tabla1[Minutos_Paro]=0,"Nula",IF(Tabla1[Minutos_Paro]&lt;30,"Baja",IF(Tabla1[Minutos_Paro]&lt;60,"Media","Alta")))</f>
        <v>Media</v>
      </c>
      <c r="N360" s="3">
        <f>250</f>
        <v>250</v>
      </c>
      <c r="O360" s="4">
        <f>Tabla1[Unidades_Defectuosas] / Tabla1[Unidades_Producidas]</f>
        <v>3.125E-2</v>
      </c>
      <c r="P360" s="4">
        <f>Tabla1[Unidades_Buenas] / Tabla1[Unidades_Producidas]</f>
        <v>0.96875</v>
      </c>
      <c r="Q360" s="3">
        <f>IF(Tabla1[Tipo_Defecto_Principal]="Falla de material", 3, IF(Tabla1[Tipo_Defecto_Principal]="Dimensión fuera de especificación", 2, 1))</f>
        <v>3</v>
      </c>
    </row>
    <row r="361" spans="1:17" x14ac:dyDescent="0.3">
      <c r="A361" s="2">
        <v>45229</v>
      </c>
      <c r="B361" t="s">
        <v>19</v>
      </c>
      <c r="C361" t="s">
        <v>15</v>
      </c>
      <c r="D361">
        <v>218</v>
      </c>
      <c r="E361">
        <v>7</v>
      </c>
      <c r="F361" t="s">
        <v>16</v>
      </c>
      <c r="G361">
        <v>0</v>
      </c>
      <c r="H361" t="s">
        <v>26</v>
      </c>
      <c r="I361">
        <f>(480 - Tabla1[Minutos_Paro]) / 60</f>
        <v>8</v>
      </c>
      <c r="J361" t="str">
        <f>IF(Tabla1[Unidades_Defectuosas] &gt; Tabla1[Unidades_Producidas], "ERROR", "OK")</f>
        <v>OK</v>
      </c>
      <c r="K361" s="1">
        <f>Tabla1[Minutos_Paro] / Tabla1[Unidades_Producidas]</f>
        <v>0</v>
      </c>
      <c r="L361">
        <f>Tabla1[Unidades_Producidas] - Tabla1[Unidades_Defectuosas]</f>
        <v>211</v>
      </c>
      <c r="M361" s="3" t="str">
        <f>IF(Tabla1[Minutos_Paro]=0,"Nula",IF(Tabla1[Minutos_Paro]&lt;30,"Baja",IF(Tabla1[Minutos_Paro]&lt;60,"Media","Alta")))</f>
        <v>Nula</v>
      </c>
      <c r="N361" s="3">
        <f>250</f>
        <v>250</v>
      </c>
      <c r="O361" s="4">
        <f>Tabla1[Unidades_Defectuosas] / Tabla1[Unidades_Producidas]</f>
        <v>3.2110091743119268E-2</v>
      </c>
      <c r="P361" s="4">
        <f>Tabla1[Unidades_Buenas] / Tabla1[Unidades_Producidas]</f>
        <v>0.9678899082568807</v>
      </c>
      <c r="Q361" s="3">
        <f>IF(Tabla1[Tipo_Defecto_Principal]="Falla de material", 3, IF(Tabla1[Tipo_Defecto_Principal]="Dimensión fuera de especificación", 2, 1))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Copia de datos_produccion_manuf</vt:lpstr>
      <vt:lpstr>DatosProduccion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2026-02-28T03:34:14Z</dcterms:created>
  <dcterms:modified xsi:type="dcterms:W3CDTF">2026-02-28T04:24:39Z</dcterms:modified>
</cp:coreProperties>
</file>